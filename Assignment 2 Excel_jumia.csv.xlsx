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Documents\Learning\LuxDev\Assignment 2\"/>
    </mc:Choice>
  </mc:AlternateContent>
  <xr:revisionPtr revIDLastSave="0" documentId="13_ncr:1_{7A45FC20-6748-4741-A503-DD3EF6876726}" xr6:coauthVersionLast="47" xr6:coauthVersionMax="47" xr10:uidLastSave="{00000000-0000-0000-0000-000000000000}"/>
  <bookViews>
    <workbookView xWindow="-110" yWindow="-110" windowWidth="19420" windowHeight="11020" activeTab="11" xr2:uid="{D9C098AB-A43E-453B-9385-D0E55BFA5CD6}"/>
  </bookViews>
  <sheets>
    <sheet name="Dashboard" sheetId="6" r:id="rId1"/>
    <sheet name="Descriptive analysis" sheetId="9" r:id="rId2"/>
    <sheet name="Discount_vs_Reviews" sheetId="2" r:id="rId3"/>
    <sheet name="Rating_vs_Reviews" sheetId="3" r:id="rId4"/>
    <sheet name="Product Performance Analysis" sheetId="10" r:id="rId5"/>
    <sheet name="High &amp; low discount comparison" sheetId="4" r:id="rId6"/>
    <sheet name="Dashboard Source" sheetId="5" r:id="rId7"/>
    <sheet name="Product Categories" sheetId="7" r:id="rId8"/>
    <sheet name="Top Products By Rating" sheetId="11" r:id="rId9"/>
    <sheet name="Top Products By Reviews" sheetId="13" r:id="rId10"/>
    <sheet name="Top Products by Discount" sheetId="14" r:id="rId11"/>
    <sheet name="Excel_jumia" sheetId="1" r:id="rId12"/>
  </sheets>
  <definedNames>
    <definedName name="_xlnm._FilterDatabase" localSheetId="11" hidden="1">Excel_jumia!$A$1:$I$113</definedName>
    <definedName name="Slicer_Discount_Category1">#N/A</definedName>
    <definedName name="Slicer_Rating_Category1">#N/A</definedName>
  </definedNames>
  <calcPr calcId="191029"/>
  <pivotCaches>
    <pivotCache cacheId="6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1"/>
  <c r="G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74" i="1"/>
  <c r="H64" i="1"/>
  <c r="H65" i="1"/>
  <c r="H66" i="1"/>
  <c r="H63" i="1"/>
  <c r="H68" i="1"/>
  <c r="H69" i="1"/>
  <c r="H70" i="1"/>
  <c r="H71" i="1"/>
  <c r="H72" i="1"/>
  <c r="H73" i="1"/>
  <c r="H67"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I3" i="1"/>
  <c r="I4" i="1"/>
  <c r="I5" i="1"/>
  <c r="I38" i="1"/>
  <c r="I7" i="1"/>
  <c r="I8" i="1"/>
  <c r="I9" i="1"/>
  <c r="I81" i="1"/>
  <c r="I11" i="1"/>
  <c r="I12" i="1"/>
  <c r="I13" i="1"/>
  <c r="I103" i="1"/>
  <c r="I15" i="1"/>
  <c r="I16" i="1"/>
  <c r="I6" i="1"/>
  <c r="I10" i="1"/>
  <c r="I14" i="1"/>
  <c r="I20" i="1"/>
  <c r="I21" i="1"/>
  <c r="I22" i="1"/>
  <c r="I23" i="1"/>
  <c r="I24" i="1"/>
  <c r="I25" i="1"/>
  <c r="I26" i="1"/>
  <c r="I27" i="1"/>
  <c r="I28" i="1"/>
  <c r="I29" i="1"/>
  <c r="I30" i="1"/>
  <c r="I31" i="1"/>
  <c r="I32" i="1"/>
  <c r="I33" i="1"/>
  <c r="I34" i="1"/>
  <c r="I35" i="1"/>
  <c r="I36" i="1"/>
  <c r="I17" i="1"/>
  <c r="I18" i="1"/>
  <c r="I39" i="1"/>
  <c r="I40" i="1"/>
  <c r="I41" i="1"/>
  <c r="I42" i="1"/>
  <c r="I43" i="1"/>
  <c r="I44" i="1"/>
  <c r="I45" i="1"/>
  <c r="I46" i="1"/>
  <c r="I47" i="1"/>
  <c r="I48" i="1"/>
  <c r="I49" i="1"/>
  <c r="I50" i="1"/>
  <c r="I51" i="1"/>
  <c r="I52" i="1"/>
  <c r="I53" i="1"/>
  <c r="I54" i="1"/>
  <c r="I55" i="1"/>
  <c r="I56" i="1"/>
  <c r="I57" i="1"/>
  <c r="I58" i="1"/>
  <c r="I59" i="1"/>
  <c r="I60" i="1"/>
  <c r="I61" i="1"/>
  <c r="I62" i="1"/>
  <c r="I74" i="1"/>
  <c r="I64" i="1"/>
  <c r="I65" i="1"/>
  <c r="I66" i="1"/>
  <c r="I63" i="1"/>
  <c r="I68" i="1"/>
  <c r="I69" i="1"/>
  <c r="I70" i="1"/>
  <c r="I71" i="1"/>
  <c r="I72" i="1"/>
  <c r="I73" i="1"/>
  <c r="I67" i="1"/>
  <c r="I75" i="1"/>
  <c r="I76" i="1"/>
  <c r="I77" i="1"/>
  <c r="I78" i="1"/>
  <c r="I79" i="1"/>
  <c r="I80" i="1"/>
  <c r="I19" i="1"/>
  <c r="I82" i="1"/>
  <c r="I83" i="1"/>
  <c r="I84" i="1"/>
  <c r="I85" i="1"/>
  <c r="I86" i="1"/>
  <c r="I87" i="1"/>
  <c r="I88" i="1"/>
  <c r="I89" i="1"/>
  <c r="I90" i="1"/>
  <c r="I91" i="1"/>
  <c r="I92" i="1"/>
  <c r="I93" i="1"/>
  <c r="I94" i="1"/>
  <c r="I95" i="1"/>
  <c r="I96" i="1"/>
  <c r="I97" i="1"/>
  <c r="I98" i="1"/>
  <c r="I99" i="1"/>
  <c r="I100" i="1"/>
  <c r="I101" i="1"/>
  <c r="I102" i="1"/>
  <c r="I37" i="1"/>
  <c r="I104" i="1"/>
  <c r="I105" i="1"/>
  <c r="I106" i="1"/>
  <c r="I107" i="1"/>
  <c r="I108" i="1"/>
  <c r="I109" i="1"/>
  <c r="I110" i="1"/>
  <c r="I111" i="1"/>
  <c r="I112" i="1"/>
  <c r="I113" i="1"/>
  <c r="I2" i="1"/>
  <c r="G3" i="1"/>
  <c r="G4" i="1"/>
  <c r="G5" i="1"/>
  <c r="G38" i="1"/>
  <c r="G8" i="1"/>
  <c r="G9" i="1"/>
  <c r="G81" i="1"/>
  <c r="G11" i="1"/>
  <c r="G12" i="1"/>
  <c r="G13" i="1"/>
  <c r="G103" i="1"/>
  <c r="G15" i="1"/>
  <c r="G16" i="1"/>
  <c r="G6" i="1"/>
  <c r="G10" i="1"/>
  <c r="G14" i="1"/>
  <c r="G20" i="1"/>
  <c r="G21" i="1"/>
  <c r="G22" i="1"/>
  <c r="G23" i="1"/>
  <c r="G24" i="1"/>
  <c r="G25" i="1"/>
  <c r="G26" i="1"/>
  <c r="G27" i="1"/>
  <c r="G28" i="1"/>
  <c r="G29" i="1"/>
  <c r="G30" i="1"/>
  <c r="G31" i="1"/>
  <c r="G32" i="1"/>
  <c r="G33" i="1"/>
  <c r="G34" i="1"/>
  <c r="G35" i="1"/>
  <c r="G36" i="1"/>
  <c r="G17" i="1"/>
  <c r="G18" i="1"/>
  <c r="G39" i="1"/>
  <c r="G41" i="1"/>
  <c r="G42" i="1"/>
  <c r="G43" i="1"/>
  <c r="G44" i="1"/>
  <c r="G45" i="1"/>
  <c r="G46" i="1"/>
  <c r="G47" i="1"/>
  <c r="G48" i="1"/>
  <c r="G49" i="1"/>
  <c r="G50" i="1"/>
  <c r="G51" i="1"/>
  <c r="G52" i="1"/>
  <c r="G53" i="1"/>
  <c r="G54" i="1"/>
  <c r="G55" i="1"/>
  <c r="G56" i="1"/>
  <c r="G57" i="1"/>
  <c r="G58" i="1"/>
  <c r="G59" i="1"/>
  <c r="G60" i="1"/>
  <c r="G61" i="1"/>
  <c r="G62" i="1"/>
  <c r="G74" i="1"/>
  <c r="G64" i="1"/>
  <c r="G65" i="1"/>
  <c r="G66" i="1"/>
  <c r="G63" i="1"/>
  <c r="G68" i="1"/>
  <c r="G69" i="1"/>
  <c r="G70" i="1"/>
  <c r="G71" i="1"/>
  <c r="G72" i="1"/>
  <c r="G73" i="1"/>
  <c r="G67" i="1"/>
  <c r="G75" i="1"/>
  <c r="G76" i="1"/>
  <c r="G77" i="1"/>
  <c r="G78" i="1"/>
  <c r="G79" i="1"/>
  <c r="G80" i="1"/>
  <c r="G19" i="1"/>
  <c r="G82" i="1"/>
  <c r="G83" i="1"/>
  <c r="G84" i="1"/>
  <c r="G85" i="1"/>
  <c r="G86" i="1"/>
  <c r="G87" i="1"/>
  <c r="G88" i="1"/>
  <c r="G89" i="1"/>
  <c r="G90" i="1"/>
  <c r="G91" i="1"/>
  <c r="G92" i="1"/>
  <c r="G93" i="1"/>
  <c r="G94" i="1"/>
  <c r="G95" i="1"/>
  <c r="G96" i="1"/>
  <c r="G97" i="1"/>
  <c r="G98" i="1"/>
  <c r="G99" i="1"/>
  <c r="G100" i="1"/>
  <c r="G101" i="1"/>
  <c r="G102" i="1"/>
  <c r="G37" i="1"/>
  <c r="G104" i="1"/>
  <c r="G105" i="1"/>
  <c r="G106" i="1"/>
  <c r="G107" i="1"/>
  <c r="G108" i="1"/>
  <c r="G109" i="1"/>
  <c r="G110" i="1"/>
  <c r="G111" i="1"/>
  <c r="G112" i="1"/>
  <c r="G113" i="1"/>
  <c r="C40" i="1"/>
  <c r="B40" i="1"/>
  <c r="G40" i="1" l="1"/>
</calcChain>
</file>

<file path=xl/sharedStrings.xml><?xml version="1.0" encoding="utf-8"?>
<sst xmlns="http://schemas.openxmlformats.org/spreadsheetml/2006/main" count="436" uniqueCount="154">
  <si>
    <t>Product</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</si>
  <si>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</si>
  <si>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</si>
  <si>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</si>
  <si>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</si>
  <si>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</si>
  <si>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</si>
  <si>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</si>
  <si>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</si>
  <si>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</si>
  <si>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</si>
  <si>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</si>
  <si>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</si>
  <si>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</si>
  <si>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</si>
  <si>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</si>
  <si>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</si>
  <si>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</si>
  <si>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</si>
  <si>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</si>
  <si>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</si>
  <si>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</si>
  <si>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</si>
  <si>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</si>
  <si>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</si>
  <si>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</si>
  <si>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</si>
  <si>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</si>
  <si>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</si>
  <si>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</si>
  <si>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</si>
  <si>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</si>
  <si>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</si>
  <si>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</si>
  <si>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</si>
  <si>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</si>
  <si>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</si>
  <si>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</si>
  <si>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</si>
  <si>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</si>
  <si>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</si>
  <si>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</si>
  <si>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</si>
  <si>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</si>
  <si>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</si>
  <si>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</si>
  <si>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</si>
  <si>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</si>
  <si>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</si>
  <si>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</si>
  <si>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</si>
  <si>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</si>
  <si>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</si>
  <si>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</si>
  <si>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</si>
  <si>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</si>
  <si>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</si>
  <si>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</si>
  <si>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</si>
  <si>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</si>
  <si>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</si>
  <si>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</si>
  <si>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</si>
  <si>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</si>
  <si>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</si>
  <si>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</si>
  <si>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</si>
  <si>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</si>
  <si>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</si>
  <si>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</si>
  <si>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</si>
  <si>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</si>
  <si>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</si>
  <si>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</si>
  <si>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</si>
  <si>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</si>
  <si>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</si>
  <si>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</si>
  <si>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</si>
  <si>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</si>
  <si>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</si>
  <si>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</si>
  <si>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</si>
  <si>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</si>
  <si>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</si>
  <si>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</si>
  <si>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</si>
  <si>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</si>
  <si>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</si>
  <si>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</si>
  <si>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</si>
  <si>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</si>
  <si>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</si>
  <si>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</si>
  <si>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</si>
  <si>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</si>
  <si>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</si>
  <si>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</si>
  <si>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</si>
  <si>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</si>
  <si>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</si>
  <si>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</si>
  <si>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</si>
  <si>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</si>
  <si>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</si>
  <si>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</si>
  <si>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</si>
  <si>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</si>
  <si>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</si>
  <si>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</si>
  <si>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</si>
  <si>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</si>
  <si>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Not rated</t>
  </si>
  <si>
    <t>Discount Amount (Ksh)</t>
  </si>
  <si>
    <t>Rating Category</t>
  </si>
  <si>
    <t>Discount Category</t>
  </si>
  <si>
    <t>Average</t>
  </si>
  <si>
    <t>Row Labels</t>
  </si>
  <si>
    <t>Grand Total</t>
  </si>
  <si>
    <t>Sum of Review</t>
  </si>
  <si>
    <t>High Discount</t>
  </si>
  <si>
    <t>Low Discount</t>
  </si>
  <si>
    <t>Count of Product</t>
  </si>
  <si>
    <t>Average of Discount</t>
  </si>
  <si>
    <t>Excellent</t>
  </si>
  <si>
    <t>Medium Discount</t>
  </si>
  <si>
    <t>Number of Products</t>
  </si>
  <si>
    <t>Number of Reviews</t>
  </si>
  <si>
    <t>Discount Percentage</t>
  </si>
  <si>
    <t>Rating</t>
  </si>
  <si>
    <t>Average of Rating</t>
  </si>
  <si>
    <t>Current price</t>
  </si>
  <si>
    <t>Old price</t>
  </si>
  <si>
    <t>Average of Current price</t>
  </si>
  <si>
    <t>Average of Old price</t>
  </si>
  <si>
    <t>Max of Current price</t>
  </si>
  <si>
    <t>This is the most expensive product.</t>
  </si>
  <si>
    <t>This is the least expensive product.</t>
  </si>
  <si>
    <t>Average rating and discount by discount category</t>
  </si>
  <si>
    <t>Number of products by discount category</t>
  </si>
  <si>
    <t>Average of Discount Amount (Ksh)</t>
  </si>
  <si>
    <t>There appears to be almost no correlation between discount percentage and customer engagement.</t>
  </si>
  <si>
    <t>It can be concluded that higher discounts do not lead to an increase in customer engagement.</t>
  </si>
  <si>
    <t>There appears to be a very low correlation between ratings and number of reviews.</t>
  </si>
  <si>
    <t>It can be concluded that higher rated products do not necessarily have more reviews.</t>
  </si>
  <si>
    <t>Max of Discount</t>
  </si>
  <si>
    <t>Top 10 products with the highest discount</t>
  </si>
  <si>
    <t>Top 10 products with the most reviews</t>
  </si>
  <si>
    <t>Max of Rating</t>
  </si>
  <si>
    <t>Top 5 highest-rated products</t>
  </si>
  <si>
    <t>Bottom 5 lowest rated products</t>
  </si>
  <si>
    <r>
      <rPr>
        <b/>
        <sz val="11"/>
        <color rgb="FFFF0000"/>
        <rFont val="Calibri"/>
        <family val="2"/>
        <scheme val="minor"/>
      </rPr>
      <t>NB</t>
    </r>
    <r>
      <rPr>
        <sz val="11"/>
        <color rgb="FFFF0000"/>
        <rFont val="Calibri"/>
        <family val="2"/>
        <scheme val="minor"/>
      </rPr>
      <t>: The table containing the bottom 5 lowest rated products is not a pivot table.</t>
    </r>
  </si>
  <si>
    <t>Poor</t>
  </si>
  <si>
    <t>Not 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</si>
</sst>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8"/>
      <name val="Calibri"/>
      <family val="2"/>
      <scheme val="minor"/>
    </font>
    <font>
      <b/>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9" fontId="0" fillId="0" borderId="0" xfId="0" applyNumberFormat="1"/>
    <xf numFmtId="0" fontId="16" fillId="0" borderId="0" xfId="0" applyFon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xf numFmtId="9" fontId="16" fillId="0" borderId="0" xfId="0" applyNumberFormat="1" applyFont="1"/>
    <xf numFmtId="1" fontId="18" fillId="0" borderId="0" xfId="0" applyNumberFormat="1" applyFont="1"/>
    <xf numFmtId="0" fontId="18" fillId="0" borderId="0" xfId="0" applyFont="1"/>
    <xf numFmtId="10" fontId="16" fillId="0" borderId="0" xfId="0" applyNumberFormat="1" applyFont="1"/>
    <xf numFmtId="0" fontId="0" fillId="0" borderId="0" xfId="0" pivotButton="1"/>
    <xf numFmtId="0" fontId="0" fillId="0" borderId="0" xfId="0" applyAlignment="1">
      <alignment horizontal="left"/>
    </xf>
    <xf numFmtId="0" fontId="0" fillId="33" borderId="0" xfId="0" applyFill="1"/>
    <xf numFmtId="2" fontId="0" fillId="0" borderId="0" xfId="0" applyNumberFormat="1"/>
    <xf numFmtId="49" fontId="0" fillId="0" borderId="0" xfId="0" applyNumberFormat="1"/>
    <xf numFmtId="0" fontId="0" fillId="0" borderId="0" xfId="0" applyNumberFormat="1"/>
    <xf numFmtId="0" fontId="16" fillId="0" borderId="0" xfId="0" applyFont="1" applyAlignment="1">
      <alignment horizontal="center"/>
    </xf>
    <xf numFmtId="0" fontId="0" fillId="0" borderId="0" xfId="0" applyAlignment="1">
      <alignment horizontal="left" vertical="center" wrapText="1"/>
    </xf>
    <xf numFmtId="0" fontId="16" fillId="0" borderId="0" xfId="0" applyFont="1" applyFill="1" applyAlignment="1">
      <alignment horizontal="center"/>
    </xf>
    <xf numFmtId="0" fontId="16" fillId="34" borderId="0" xfId="0" applyFont="1" applyFill="1"/>
    <xf numFmtId="164" fontId="16" fillId="34" borderId="0" xfId="0" applyNumberFormat="1" applyFont="1" applyFill="1"/>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[Excel_jumia.csv.xlsx]Top Products By Rating!PivotTable14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Top products by 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'Top Products By Rating'!$B$4:$B$14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61C0-40F7-B633-2BB7DF94765B}"/>
            </c:ext>
          </c:extLst>
        </c:ser>
        <c:dLbls>
          <c:showLegendKey val="0"/>
          <c:showVal val="0"/>
          <c:showCatName val="0"/>
          <c:showSerName val="0"/>
          <c:showPercent val="0"/>
          <c:showBubbleSize val="0"/>
        </c:dLbls>
        <c:gapWidth val="182"/>
        <c:axId val="2129924479"/>
        <c:axId val="2129926399"/>
      </c:barChart>
      <c:catAx>
        <c:axId val="212992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26399"/>
        <c:crosses val="autoZero"/>
        <c:auto val="1"/>
        <c:lblAlgn val="ctr"/>
        <c:lblOffset val="100"/>
        <c:noMultiLvlLbl val="0"/>
      </c:catAx>
      <c:valAx>
        <c:axId val="2129926399"/>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Relationship between</a:t>
            </a:r>
            <a:r>
              <a:rPr lang="en-US" sz="1600" baseline="0"/>
              <a:t> discount percentage and number of reviews</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Excel_jumia!$E$1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4203101257079706E-2"/>
                  <c:y val="-0.483272587883918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Excel_jumia!$D$2:$D$113</c:f>
              <c:numCache>
                <c:formatCode>0%</c:formatCode>
                <c:ptCount val="112"/>
                <c:pt idx="0">
                  <c:v>0.38</c:v>
                </c:pt>
                <c:pt idx="1">
                  <c:v>0.47</c:v>
                </c:pt>
                <c:pt idx="2">
                  <c:v>0.25</c:v>
                </c:pt>
                <c:pt idx="3">
                  <c:v>0.37</c:v>
                </c:pt>
                <c:pt idx="4">
                  <c:v>0.51</c:v>
                </c:pt>
                <c:pt idx="5">
                  <c:v>0.09</c:v>
                </c:pt>
                <c:pt idx="6">
                  <c:v>0.24</c:v>
                </c:pt>
                <c:pt idx="7">
                  <c:v>0.37</c:v>
                </c:pt>
                <c:pt idx="8">
                  <c:v>0.46</c:v>
                </c:pt>
                <c:pt idx="9">
                  <c:v>0.45</c:v>
                </c:pt>
                <c:pt idx="10">
                  <c:v>0.2</c:v>
                </c:pt>
                <c:pt idx="11">
                  <c:v>0.34</c:v>
                </c:pt>
                <c:pt idx="12">
                  <c:v>0.49</c:v>
                </c:pt>
                <c:pt idx="13">
                  <c:v>0.42</c:v>
                </c:pt>
                <c:pt idx="14">
                  <c:v>0.33</c:v>
                </c:pt>
                <c:pt idx="15">
                  <c:v>0.4</c:v>
                </c:pt>
                <c:pt idx="16">
                  <c:v>0.53</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0.21</c:v>
                </c:pt>
                <c:pt idx="36">
                  <c:v>0.26</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0.45</c:v>
                </c:pt>
                <c:pt idx="62">
                  <c:v>0.49</c:v>
                </c:pt>
                <c:pt idx="63">
                  <c:v>0.52</c:v>
                </c:pt>
                <c:pt idx="64">
                  <c:v>0.22</c:v>
                </c:pt>
                <c:pt idx="65">
                  <c:v>0.47</c:v>
                </c:pt>
                <c:pt idx="66">
                  <c:v>0.5</c:v>
                </c:pt>
                <c:pt idx="67">
                  <c:v>0.39</c:v>
                </c:pt>
                <c:pt idx="68">
                  <c:v>0.45</c:v>
                </c:pt>
                <c:pt idx="69">
                  <c:v>0.28999999999999998</c:v>
                </c:pt>
                <c:pt idx="70">
                  <c:v>0.43</c:v>
                </c:pt>
                <c:pt idx="71">
                  <c:v>0.43</c:v>
                </c:pt>
                <c:pt idx="72">
                  <c:v>0.55000000000000004</c:v>
                </c:pt>
                <c:pt idx="73">
                  <c:v>0.47</c:v>
                </c:pt>
                <c:pt idx="74">
                  <c:v>0.47</c:v>
                </c:pt>
                <c:pt idx="75">
                  <c:v>0.43</c:v>
                </c:pt>
                <c:pt idx="76">
                  <c:v>0.04</c:v>
                </c:pt>
                <c:pt idx="77">
                  <c:v>0.49</c:v>
                </c:pt>
                <c:pt idx="78">
                  <c:v>0.46</c:v>
                </c:pt>
                <c:pt idx="79">
                  <c:v>0.55000000000000004</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0.47</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Excel_jumia!$E$2:$E$113</c:f>
              <c:numCache>
                <c:formatCode>0</c:formatCode>
                <c:ptCount val="112"/>
                <c:pt idx="0">
                  <c:v>2</c:v>
                </c:pt>
                <c:pt idx="1">
                  <c:v>14</c:v>
                </c:pt>
                <c:pt idx="2">
                  <c:v>24</c:v>
                </c:pt>
                <c:pt idx="3">
                  <c:v>7</c:v>
                </c:pt>
                <c:pt idx="4">
                  <c:v>2</c:v>
                </c:pt>
                <c:pt idx="5">
                  <c:v>15</c:v>
                </c:pt>
                <c:pt idx="6">
                  <c:v>55</c:v>
                </c:pt>
                <c:pt idx="7">
                  <c:v>2</c:v>
                </c:pt>
                <c:pt idx="8">
                  <c:v>2</c:v>
                </c:pt>
                <c:pt idx="9">
                  <c:v>5</c:v>
                </c:pt>
                <c:pt idx="10">
                  <c:v>12</c:v>
                </c:pt>
                <c:pt idx="11">
                  <c:v>39</c:v>
                </c:pt>
                <c:pt idx="12">
                  <c:v>3</c:v>
                </c:pt>
                <c:pt idx="13">
                  <c:v>6</c:v>
                </c:pt>
                <c:pt idx="14">
                  <c:v>9</c:v>
                </c:pt>
                <c:pt idx="15">
                  <c:v>1</c:v>
                </c:pt>
                <c:pt idx="16">
                  <c:v>2</c:v>
                </c:pt>
                <c:pt idx="17">
                  <c:v>1</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5</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6</c:v>
                </c:pt>
                <c:pt idx="62">
                  <c:v>69</c:v>
                </c:pt>
                <c:pt idx="63">
                  <c:v>15</c:v>
                </c:pt>
                <c:pt idx="64">
                  <c:v>16</c:v>
                </c:pt>
                <c:pt idx="65">
                  <c:v>6</c:v>
                </c:pt>
                <c:pt idx="66">
                  <c:v>7</c:v>
                </c:pt>
                <c:pt idx="67">
                  <c:v>5</c:v>
                </c:pt>
                <c:pt idx="68">
                  <c:v>17</c:v>
                </c:pt>
                <c:pt idx="69">
                  <c:v>5</c:v>
                </c:pt>
                <c:pt idx="70">
                  <c:v>6</c:v>
                </c:pt>
                <c:pt idx="71">
                  <c:v>5</c:v>
                </c:pt>
                <c:pt idx="72">
                  <c:v>13</c:v>
                </c:pt>
                <c:pt idx="73">
                  <c:v>7</c:v>
                </c:pt>
                <c:pt idx="74">
                  <c:v>0</c:v>
                </c:pt>
                <c:pt idx="75">
                  <c:v>0</c:v>
                </c:pt>
                <c:pt idx="76">
                  <c:v>0</c:v>
                </c:pt>
                <c:pt idx="77">
                  <c:v>0</c:v>
                </c:pt>
                <c:pt idx="78">
                  <c:v>1</c:v>
                </c:pt>
                <c:pt idx="79">
                  <c:v>5</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12</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9A01-4450-BCF3-66324F538B6D}"/>
            </c:ext>
          </c:extLst>
        </c:ser>
        <c:dLbls>
          <c:showLegendKey val="0"/>
          <c:showVal val="0"/>
          <c:showCatName val="0"/>
          <c:showSerName val="0"/>
          <c:showPercent val="0"/>
          <c:showBubbleSize val="0"/>
        </c:dLbls>
        <c:axId val="1682383295"/>
        <c:axId val="1682383775"/>
      </c:scatterChart>
      <c:valAx>
        <c:axId val="168238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83775"/>
        <c:crosses val="autoZero"/>
        <c:crossBetween val="midCat"/>
      </c:valAx>
      <c:valAx>
        <c:axId val="168238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reviews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83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Relationship between ratings and number of reviews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Excel_jumia!$F$1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611410415803287"/>
                  <c:y val="7.7484787018255582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Excel_jumia!$E$2:$E$113</c:f>
              <c:numCache>
                <c:formatCode>0</c:formatCode>
                <c:ptCount val="112"/>
                <c:pt idx="0">
                  <c:v>2</c:v>
                </c:pt>
                <c:pt idx="1">
                  <c:v>14</c:v>
                </c:pt>
                <c:pt idx="2">
                  <c:v>24</c:v>
                </c:pt>
                <c:pt idx="3">
                  <c:v>7</c:v>
                </c:pt>
                <c:pt idx="4">
                  <c:v>2</c:v>
                </c:pt>
                <c:pt idx="5">
                  <c:v>15</c:v>
                </c:pt>
                <c:pt idx="6">
                  <c:v>55</c:v>
                </c:pt>
                <c:pt idx="7">
                  <c:v>2</c:v>
                </c:pt>
                <c:pt idx="8">
                  <c:v>2</c:v>
                </c:pt>
                <c:pt idx="9">
                  <c:v>5</c:v>
                </c:pt>
                <c:pt idx="10">
                  <c:v>12</c:v>
                </c:pt>
                <c:pt idx="11">
                  <c:v>39</c:v>
                </c:pt>
                <c:pt idx="12">
                  <c:v>3</c:v>
                </c:pt>
                <c:pt idx="13">
                  <c:v>6</c:v>
                </c:pt>
                <c:pt idx="14">
                  <c:v>9</c:v>
                </c:pt>
                <c:pt idx="15">
                  <c:v>1</c:v>
                </c:pt>
                <c:pt idx="16">
                  <c:v>2</c:v>
                </c:pt>
                <c:pt idx="17">
                  <c:v>1</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5</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6</c:v>
                </c:pt>
                <c:pt idx="62">
                  <c:v>69</c:v>
                </c:pt>
                <c:pt idx="63">
                  <c:v>15</c:v>
                </c:pt>
                <c:pt idx="64">
                  <c:v>16</c:v>
                </c:pt>
                <c:pt idx="65">
                  <c:v>6</c:v>
                </c:pt>
                <c:pt idx="66">
                  <c:v>7</c:v>
                </c:pt>
                <c:pt idx="67">
                  <c:v>5</c:v>
                </c:pt>
                <c:pt idx="68">
                  <c:v>17</c:v>
                </c:pt>
                <c:pt idx="69">
                  <c:v>5</c:v>
                </c:pt>
                <c:pt idx="70">
                  <c:v>6</c:v>
                </c:pt>
                <c:pt idx="71">
                  <c:v>5</c:v>
                </c:pt>
                <c:pt idx="72">
                  <c:v>13</c:v>
                </c:pt>
                <c:pt idx="73">
                  <c:v>7</c:v>
                </c:pt>
                <c:pt idx="74">
                  <c:v>0</c:v>
                </c:pt>
                <c:pt idx="75">
                  <c:v>0</c:v>
                </c:pt>
                <c:pt idx="76">
                  <c:v>0</c:v>
                </c:pt>
                <c:pt idx="77">
                  <c:v>0</c:v>
                </c:pt>
                <c:pt idx="78">
                  <c:v>1</c:v>
                </c:pt>
                <c:pt idx="79">
                  <c:v>5</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12</c:v>
                </c:pt>
                <c:pt idx="102">
                  <c:v>0</c:v>
                </c:pt>
                <c:pt idx="103">
                  <c:v>0</c:v>
                </c:pt>
                <c:pt idx="104">
                  <c:v>0</c:v>
                </c:pt>
                <c:pt idx="105">
                  <c:v>0</c:v>
                </c:pt>
                <c:pt idx="106">
                  <c:v>0</c:v>
                </c:pt>
                <c:pt idx="107">
                  <c:v>0</c:v>
                </c:pt>
                <c:pt idx="108">
                  <c:v>0</c:v>
                </c:pt>
                <c:pt idx="109">
                  <c:v>0</c:v>
                </c:pt>
                <c:pt idx="110">
                  <c:v>1</c:v>
                </c:pt>
                <c:pt idx="111">
                  <c:v>0</c:v>
                </c:pt>
              </c:numCache>
            </c:numRef>
          </c:xVal>
          <c:yVal>
            <c:numRef>
              <c:f>Excel_jumia!$F$2:$F$113</c:f>
              <c:numCache>
                <c:formatCode>0.0</c:formatCode>
                <c:ptCount val="112"/>
                <c:pt idx="0">
                  <c:v>4.5</c:v>
                </c:pt>
                <c:pt idx="1">
                  <c:v>4.0999999999999996</c:v>
                </c:pt>
                <c:pt idx="2">
                  <c:v>4.5999999999999996</c:v>
                </c:pt>
                <c:pt idx="3">
                  <c:v>4.7</c:v>
                </c:pt>
                <c:pt idx="4">
                  <c:v>5</c:v>
                </c:pt>
                <c:pt idx="5">
                  <c:v>4</c:v>
                </c:pt>
                <c:pt idx="6">
                  <c:v>4.5999999999999996</c:v>
                </c:pt>
                <c:pt idx="7">
                  <c:v>4</c:v>
                </c:pt>
                <c:pt idx="8">
                  <c:v>5</c:v>
                </c:pt>
                <c:pt idx="9">
                  <c:v>3.8</c:v>
                </c:pt>
                <c:pt idx="10">
                  <c:v>4.0999999999999996</c:v>
                </c:pt>
                <c:pt idx="11">
                  <c:v>4.7</c:v>
                </c:pt>
                <c:pt idx="12">
                  <c:v>5</c:v>
                </c:pt>
                <c:pt idx="13">
                  <c:v>4.5</c:v>
                </c:pt>
                <c:pt idx="14">
                  <c:v>4.2</c:v>
                </c:pt>
                <c:pt idx="15">
                  <c:v>5</c:v>
                </c:pt>
                <c:pt idx="16">
                  <c:v>5</c:v>
                </c:pt>
                <c:pt idx="17">
                  <c:v>5</c:v>
                </c:pt>
                <c:pt idx="18">
                  <c:v>4.5999999999999996</c:v>
                </c:pt>
                <c:pt idx="19">
                  <c:v>4.5999999999999996</c:v>
                </c:pt>
                <c:pt idx="20">
                  <c:v>3.3</c:v>
                </c:pt>
                <c:pt idx="21" formatCode="General">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4.8</c:v>
                </c:pt>
                <c:pt idx="37">
                  <c:v>4.3</c:v>
                </c:pt>
                <c:pt idx="38">
                  <c:v>4.5</c:v>
                </c:pt>
                <c:pt idx="39" formatCode="@">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General">
                  <c:v>0</c:v>
                </c:pt>
                <c:pt idx="59">
                  <c:v>2.5</c:v>
                </c:pt>
                <c:pt idx="60">
                  <c:v>3</c:v>
                </c:pt>
                <c:pt idx="61">
                  <c:v>2.2000000000000002</c:v>
                </c:pt>
                <c:pt idx="62">
                  <c:v>2.8</c:v>
                </c:pt>
                <c:pt idx="63">
                  <c:v>2.7</c:v>
                </c:pt>
                <c:pt idx="64">
                  <c:v>2.9</c:v>
                </c:pt>
                <c:pt idx="65">
                  <c:v>2.2000000000000002</c:v>
                </c:pt>
                <c:pt idx="66">
                  <c:v>2.2999999999999998</c:v>
                </c:pt>
                <c:pt idx="67">
                  <c:v>3</c:v>
                </c:pt>
                <c:pt idx="68">
                  <c:v>2.6</c:v>
                </c:pt>
                <c:pt idx="69">
                  <c:v>3</c:v>
                </c:pt>
                <c:pt idx="70">
                  <c:v>2.2999999999999998</c:v>
                </c:pt>
                <c:pt idx="71">
                  <c:v>3</c:v>
                </c:pt>
                <c:pt idx="72">
                  <c:v>2.1</c:v>
                </c:pt>
                <c:pt idx="73">
                  <c:v>2.1</c:v>
                </c:pt>
                <c:pt idx="74">
                  <c:v>0</c:v>
                </c:pt>
                <c:pt idx="75">
                  <c:v>0</c:v>
                </c:pt>
                <c:pt idx="76">
                  <c:v>0</c:v>
                </c:pt>
                <c:pt idx="77">
                  <c:v>0</c:v>
                </c:pt>
                <c:pt idx="78">
                  <c:v>3</c:v>
                </c:pt>
                <c:pt idx="79">
                  <c:v>4.8</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4.8</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1-2EB7-4713-9392-35F71501F073}"/>
            </c:ext>
          </c:extLst>
        </c:ser>
        <c:dLbls>
          <c:showLegendKey val="0"/>
          <c:showVal val="0"/>
          <c:showCatName val="0"/>
          <c:showSerName val="0"/>
          <c:showPercent val="0"/>
          <c:showBubbleSize val="0"/>
        </c:dLbls>
        <c:axId val="1682414975"/>
        <c:axId val="1682415455"/>
      </c:scatterChart>
      <c:valAx>
        <c:axId val="1682414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reviews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415455"/>
        <c:crosses val="autoZero"/>
        <c:crossBetween val="midCat"/>
      </c:valAx>
      <c:valAx>
        <c:axId val="168241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4149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[Excel_jumia.csv.xlsx]Product Categories!PivotTable4</c:name>
    <c:fmtId val="2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Breakdown of products by rating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19050">
            <a:solidFill>
              <a:schemeClr val="lt1"/>
            </a:solidFill>
          </a:ln>
          <a:effectLst/>
          <a:sp3d contourW="25400">
            <a:contourClr>
              <a:schemeClr val="lt1"/>
            </a:contourClr>
          </a:sp3d>
        </c:spPr>
      </c:pivotFmt>
      <c:pivotFmt>
        <c:idx val="9"/>
        <c:spPr>
          <a:solidFill>
            <a:schemeClr val="accent1"/>
          </a:solidFill>
          <a:ln w="1905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840823132828632E-2"/>
          <c:y val="0.19641764340202453"/>
          <c:w val="0.75547893451058723"/>
          <c:h val="0.69582452769551106"/>
        </c:manualLayout>
      </c:layout>
      <c:pie3DChart>
        <c:varyColors val="1"/>
        <c:ser>
          <c:idx val="0"/>
          <c:order val="0"/>
          <c:tx>
            <c:strRef>
              <c:f>'Product Categories'!$B$3</c:f>
              <c:strCache>
                <c:ptCount val="1"/>
                <c:pt idx="0">
                  <c:v>Total</c:v>
                </c:pt>
              </c:strCache>
            </c:strRef>
          </c:tx>
          <c:dPt>
            <c:idx val="0"/>
            <c:bubble3D val="0"/>
            <c:spPr>
              <a:solidFill>
                <a:schemeClr val="accent1">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D6-4B81-B106-4DF00C394480}"/>
              </c:ext>
            </c:extLst>
          </c:dPt>
          <c:dPt>
            <c:idx val="1"/>
            <c:bubble3D val="0"/>
            <c:spPr>
              <a:solidFill>
                <a:schemeClr val="accent1">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D6-4B81-B106-4DF00C394480}"/>
              </c:ext>
            </c:extLst>
          </c:dPt>
          <c:dPt>
            <c:idx val="2"/>
            <c:bubble3D val="0"/>
            <c:spPr>
              <a:solidFill>
                <a:schemeClr val="accent1">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D6-4B81-B106-4DF00C394480}"/>
              </c:ext>
            </c:extLst>
          </c:dPt>
          <c:dPt>
            <c:idx val="3"/>
            <c:bubble3D val="0"/>
            <c:spPr>
              <a:solidFill>
                <a:schemeClr val="accent1">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D6-4B81-B106-4DF00C394480}"/>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Categories'!$A$4:$A$8</c:f>
              <c:strCache>
                <c:ptCount val="4"/>
                <c:pt idx="0">
                  <c:v>Average</c:v>
                </c:pt>
                <c:pt idx="1">
                  <c:v>Excellent</c:v>
                </c:pt>
                <c:pt idx="2">
                  <c:v>Poor</c:v>
                </c:pt>
                <c:pt idx="3">
                  <c:v>Not Rated</c:v>
                </c:pt>
              </c:strCache>
            </c:strRef>
          </c:cat>
          <c:val>
            <c:numRef>
              <c:f>'Product Categories'!$B$4:$B$8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8-37D6-4B81-B106-4DF00C39448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699338028000608"/>
          <c:y val="0.65746002566189743"/>
          <c:w val="0.19596955027957155"/>
          <c:h val="0.29655992890222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[Excel_jumia.csv.xlsx]Product Categories!PivotTable5</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ysClr val="windowText" lastClr="000000">
                    <a:lumMod val="65000"/>
                    <a:lumOff val="35000"/>
                  </a:sysClr>
                </a:solidFill>
              </a:rPr>
              <a:t>Breakdown of products by discount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834602978594087E-2"/>
          <c:y val="0.11753723764210962"/>
          <c:w val="0.72877948003040915"/>
          <c:h val="0.83627277408324696"/>
        </c:manualLayout>
      </c:layout>
      <c:pie3DChart>
        <c:varyColors val="1"/>
        <c:ser>
          <c:idx val="0"/>
          <c:order val="0"/>
          <c:tx>
            <c:strRef>
              <c:f>'Product Categories'!$B$10</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F1-4525-9FCD-9B381E4B1D91}"/>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F1-4525-9FCD-9B381E4B1D91}"/>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F1-4525-9FCD-9B381E4B1D91}"/>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Categories'!$A$11:$A$14</c:f>
              <c:strCache>
                <c:ptCount val="3"/>
                <c:pt idx="0">
                  <c:v>High Discount</c:v>
                </c:pt>
                <c:pt idx="1">
                  <c:v>Low Discount</c:v>
                </c:pt>
                <c:pt idx="2">
                  <c:v>Medium Discount</c:v>
                </c:pt>
              </c:strCache>
            </c:strRef>
          </c:cat>
          <c:val>
            <c:numRef>
              <c:f>'Product Categories'!$B$11:$B$14</c:f>
              <c:numCache>
                <c:formatCode>General</c:formatCode>
                <c:ptCount val="3"/>
                <c:pt idx="0">
                  <c:v>63</c:v>
                </c:pt>
                <c:pt idx="1">
                  <c:v>18</c:v>
                </c:pt>
                <c:pt idx="2">
                  <c:v>31</c:v>
                </c:pt>
              </c:numCache>
            </c:numRef>
          </c:val>
          <c:extLst>
            <c:ext xmlns:c16="http://schemas.microsoft.com/office/drawing/2014/chart" uri="{C3380CC4-5D6E-409C-BE32-E72D297353CC}">
              <c16:uniqueId val="{00000006-F2F1-4525-9FCD-9B381E4B1D91}"/>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746893365391115"/>
          <c:y val="0.7305216551050786"/>
          <c:w val="0.28126296853247573"/>
          <c:h val="0.22323731642456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[Excel_jumia.csv.xlsx]Top Products By Reviews!PivotTable17</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Top products by number of reviews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Reviews'!$B$3</c:f>
              <c:strCache>
                <c:ptCount val="1"/>
                <c:pt idx="0">
                  <c:v>Total</c:v>
                </c:pt>
              </c:strCache>
            </c:strRef>
          </c:tx>
          <c:spPr>
            <a:solidFill>
              <a:schemeClr val="accent1"/>
            </a:solidFill>
            <a:ln>
              <a:noFill/>
            </a:ln>
            <a:effectLst/>
          </c:spPr>
          <c:invertIfNegative val="0"/>
          <c:cat>
            <c:strRef>
              <c:f>'Top Products By Reviews'!$A$4:$A$14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'Top Products By Reviews'!$B$4:$B$14</c:f>
              <c:numCache>
                <c:formatCode>0</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3ABE-459C-A3A1-7C9D9D61D210}"/>
            </c:ext>
          </c:extLst>
        </c:ser>
        <c:dLbls>
          <c:showLegendKey val="0"/>
          <c:showVal val="0"/>
          <c:showCatName val="0"/>
          <c:showSerName val="0"/>
          <c:showPercent val="0"/>
          <c:showBubbleSize val="0"/>
        </c:dLbls>
        <c:gapWidth val="182"/>
        <c:axId val="2123124735"/>
        <c:axId val="2123125695"/>
      </c:barChart>
      <c:catAx>
        <c:axId val="212312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25695"/>
        <c:crosses val="autoZero"/>
        <c:auto val="1"/>
        <c:lblAlgn val="ctr"/>
        <c:lblOffset val="100"/>
        <c:noMultiLvlLbl val="0"/>
      </c:catAx>
      <c:valAx>
        <c:axId val="2123125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2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[Excel_jumia.csv.xlsx]Top Products by Discount!PivotTable18</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Top products by discount percentage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Discount'!$B$3</c:f>
              <c:strCache>
                <c:ptCount val="1"/>
                <c:pt idx="0">
                  <c:v>Total</c:v>
                </c:pt>
              </c:strCache>
            </c:strRef>
          </c:tx>
          <c:spPr>
            <a:solidFill>
              <a:schemeClr val="accent1"/>
            </a:solidFill>
            <a:ln>
              <a:noFill/>
            </a:ln>
            <a:effectLst/>
          </c:spPr>
          <c:invertIfNegative val="0"/>
          <c:cat>
            <c:strRef>
              <c:f>'Top Products by Discount'!$A$4:$A$15</c:f>
              <c:strCache>
                <c:ptCount val="11"/>
                <c:pt idx="0">
                  <c:v>Exfoliate And Exfoliate Face Towel - Black</c:v>
                </c:pt>
                <c:pt idx="1">
                  <c:v>Intelligent  LED Body Sensor Wireless Lighting Night Light USB</c:v>
                </c:pt>
                <c:pt idx="2">
                  <c:v>3PCS Single Head Knitting Crochet Sweater Needle Set</c:v>
                </c:pt>
                <c:pt idx="3">
                  <c:v>Classic Black Cat Cotton Hemp Pillow Case For Home Car</c:v>
                </c:pt>
                <c:pt idx="4">
                  <c:v>Mythco 120COB Solar Wall Ligt With Motion Sensor And Remote Control 3 Modes</c:v>
                </c:pt>
                <c:pt idx="5">
                  <c:v>LASA 3 Tier Bamboo Shoe Bench Storage Shelf</c:v>
                </c:pt>
                <c:pt idx="6">
                  <c:v>Simple Metal Dog Art Sculpture Decoration For Home Office</c:v>
                </c:pt>
                <c:pt idx="7">
                  <c:v>LASA FOLDING TABLE SERVING STAND</c:v>
                </c:pt>
                <c:pt idx="8">
                  <c:v>5-PCS Stainless Steel Cooking Pot Set With Steamed Slices</c:v>
                </c:pt>
                <c:pt idx="9">
                  <c:v>Creative Owl Shape Keychain Black</c:v>
                </c:pt>
                <c:pt idx="10">
                  <c:v>6 In 1 Bottle Can Opener Multifunctional Easy Opener</c:v>
                </c:pt>
              </c:strCache>
            </c:strRef>
          </c:cat>
          <c:val>
            <c:numRef>
              <c:f>'Top Products by Discount'!$B$4:$B$15</c:f>
              <c:numCache>
                <c:formatCode>0%</c:formatCode>
                <c:ptCount val="11"/>
                <c:pt idx="0">
                  <c:v>0.52</c:v>
                </c:pt>
                <c:pt idx="1">
                  <c:v>0.52</c:v>
                </c:pt>
                <c:pt idx="2">
                  <c:v>0.53</c:v>
                </c:pt>
                <c:pt idx="3">
                  <c:v>0.53</c:v>
                </c:pt>
                <c:pt idx="4">
                  <c:v>0.54</c:v>
                </c:pt>
                <c:pt idx="5">
                  <c:v>0.54</c:v>
                </c:pt>
                <c:pt idx="6">
                  <c:v>0.55000000000000004</c:v>
                </c:pt>
                <c:pt idx="7">
                  <c:v>0.55000000000000004</c:v>
                </c:pt>
                <c:pt idx="8">
                  <c:v>0.55000000000000004</c:v>
                </c:pt>
                <c:pt idx="9">
                  <c:v>0.61</c:v>
                </c:pt>
                <c:pt idx="10">
                  <c:v>0.64</c:v>
                </c:pt>
              </c:numCache>
            </c:numRef>
          </c:val>
          <c:extLst>
            <c:ext xmlns:c16="http://schemas.microsoft.com/office/drawing/2014/chart" uri="{C3380CC4-5D6E-409C-BE32-E72D297353CC}">
              <c16:uniqueId val="{00000000-B844-4567-BF11-29871D8F4867}"/>
            </c:ext>
          </c:extLst>
        </c:ser>
        <c:dLbls>
          <c:showLegendKey val="0"/>
          <c:showVal val="0"/>
          <c:showCatName val="0"/>
          <c:showSerName val="0"/>
          <c:showPercent val="0"/>
          <c:showBubbleSize val="0"/>
        </c:dLbls>
        <c:gapWidth val="182"/>
        <c:axId val="2123150655"/>
        <c:axId val="2123151135"/>
      </c:barChart>
      <c:catAx>
        <c:axId val="21231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51135"/>
        <c:crosses val="autoZero"/>
        <c:auto val="1"/>
        <c:lblAlgn val="ctr"/>
        <c:lblOffset val="100"/>
        <c:noMultiLvlLbl val="0"/>
      </c:catAx>
      <c:valAx>
        <c:axId val="21231511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5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a:t>
            </a:r>
            <a:r>
              <a:rPr lang="en-US" baseline="0"/>
              <a:t> discount percentage and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Excel_jumia!$E$1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4203101257079706E-2"/>
                  <c:y val="-0.483272587883918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Excel_jumia!$D$2:$D$113</c:f>
              <c:numCache>
                <c:formatCode>0%</c:formatCode>
                <c:ptCount val="112"/>
                <c:pt idx="0">
                  <c:v>0.38</c:v>
                </c:pt>
                <c:pt idx="1">
                  <c:v>0.47</c:v>
                </c:pt>
                <c:pt idx="2">
                  <c:v>0.25</c:v>
                </c:pt>
                <c:pt idx="3">
                  <c:v>0.37</c:v>
                </c:pt>
                <c:pt idx="4">
                  <c:v>0.51</c:v>
                </c:pt>
                <c:pt idx="5">
                  <c:v>0.09</c:v>
                </c:pt>
                <c:pt idx="6">
                  <c:v>0.24</c:v>
                </c:pt>
                <c:pt idx="7">
                  <c:v>0.37</c:v>
                </c:pt>
                <c:pt idx="8">
                  <c:v>0.46</c:v>
                </c:pt>
                <c:pt idx="9">
                  <c:v>0.45</c:v>
                </c:pt>
                <c:pt idx="10">
                  <c:v>0.2</c:v>
                </c:pt>
                <c:pt idx="11">
                  <c:v>0.34</c:v>
                </c:pt>
                <c:pt idx="12">
                  <c:v>0.49</c:v>
                </c:pt>
                <c:pt idx="13">
                  <c:v>0.42</c:v>
                </c:pt>
                <c:pt idx="14">
                  <c:v>0.33</c:v>
                </c:pt>
                <c:pt idx="15">
                  <c:v>0.4</c:v>
                </c:pt>
                <c:pt idx="16">
                  <c:v>0.53</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0.21</c:v>
                </c:pt>
                <c:pt idx="36">
                  <c:v>0.26</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0.45</c:v>
                </c:pt>
                <c:pt idx="62">
                  <c:v>0.49</c:v>
                </c:pt>
                <c:pt idx="63">
                  <c:v>0.52</c:v>
                </c:pt>
                <c:pt idx="64">
                  <c:v>0.22</c:v>
                </c:pt>
                <c:pt idx="65">
                  <c:v>0.47</c:v>
                </c:pt>
                <c:pt idx="66">
                  <c:v>0.5</c:v>
                </c:pt>
                <c:pt idx="67">
                  <c:v>0.39</c:v>
                </c:pt>
                <c:pt idx="68">
                  <c:v>0.45</c:v>
                </c:pt>
                <c:pt idx="69">
                  <c:v>0.28999999999999998</c:v>
                </c:pt>
                <c:pt idx="70">
                  <c:v>0.43</c:v>
                </c:pt>
                <c:pt idx="71">
                  <c:v>0.43</c:v>
                </c:pt>
                <c:pt idx="72">
                  <c:v>0.55000000000000004</c:v>
                </c:pt>
                <c:pt idx="73">
                  <c:v>0.47</c:v>
                </c:pt>
                <c:pt idx="74">
                  <c:v>0.47</c:v>
                </c:pt>
                <c:pt idx="75">
                  <c:v>0.43</c:v>
                </c:pt>
                <c:pt idx="76">
                  <c:v>0.04</c:v>
                </c:pt>
                <c:pt idx="77">
                  <c:v>0.49</c:v>
                </c:pt>
                <c:pt idx="78">
                  <c:v>0.46</c:v>
                </c:pt>
                <c:pt idx="79">
                  <c:v>0.55000000000000004</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0.47</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Excel_jumia!$E$2:$E$113</c:f>
              <c:numCache>
                <c:formatCode>0</c:formatCode>
                <c:ptCount val="112"/>
                <c:pt idx="0">
                  <c:v>2</c:v>
                </c:pt>
                <c:pt idx="1">
                  <c:v>14</c:v>
                </c:pt>
                <c:pt idx="2">
                  <c:v>24</c:v>
                </c:pt>
                <c:pt idx="3">
                  <c:v>7</c:v>
                </c:pt>
                <c:pt idx="4">
                  <c:v>2</c:v>
                </c:pt>
                <c:pt idx="5">
                  <c:v>15</c:v>
                </c:pt>
                <c:pt idx="6">
                  <c:v>55</c:v>
                </c:pt>
                <c:pt idx="7">
                  <c:v>2</c:v>
                </c:pt>
                <c:pt idx="8">
                  <c:v>2</c:v>
                </c:pt>
                <c:pt idx="9">
                  <c:v>5</c:v>
                </c:pt>
                <c:pt idx="10">
                  <c:v>12</c:v>
                </c:pt>
                <c:pt idx="11">
                  <c:v>39</c:v>
                </c:pt>
                <c:pt idx="12">
                  <c:v>3</c:v>
                </c:pt>
                <c:pt idx="13">
                  <c:v>6</c:v>
                </c:pt>
                <c:pt idx="14">
                  <c:v>9</c:v>
                </c:pt>
                <c:pt idx="15">
                  <c:v>1</c:v>
                </c:pt>
                <c:pt idx="16">
                  <c:v>2</c:v>
                </c:pt>
                <c:pt idx="17">
                  <c:v>1</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5</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6</c:v>
                </c:pt>
                <c:pt idx="62">
                  <c:v>69</c:v>
                </c:pt>
                <c:pt idx="63">
                  <c:v>15</c:v>
                </c:pt>
                <c:pt idx="64">
                  <c:v>16</c:v>
                </c:pt>
                <c:pt idx="65">
                  <c:v>6</c:v>
                </c:pt>
                <c:pt idx="66">
                  <c:v>7</c:v>
                </c:pt>
                <c:pt idx="67">
                  <c:v>5</c:v>
                </c:pt>
                <c:pt idx="68">
                  <c:v>17</c:v>
                </c:pt>
                <c:pt idx="69">
                  <c:v>5</c:v>
                </c:pt>
                <c:pt idx="70">
                  <c:v>6</c:v>
                </c:pt>
                <c:pt idx="71">
                  <c:v>5</c:v>
                </c:pt>
                <c:pt idx="72">
                  <c:v>13</c:v>
                </c:pt>
                <c:pt idx="73">
                  <c:v>7</c:v>
                </c:pt>
                <c:pt idx="74">
                  <c:v>0</c:v>
                </c:pt>
                <c:pt idx="75">
                  <c:v>0</c:v>
                </c:pt>
                <c:pt idx="76">
                  <c:v>0</c:v>
                </c:pt>
                <c:pt idx="77">
                  <c:v>0</c:v>
                </c:pt>
                <c:pt idx="78">
                  <c:v>1</c:v>
                </c:pt>
                <c:pt idx="79">
                  <c:v>5</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12</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3133-460A-B028-BCEB744574FD}"/>
            </c:ext>
          </c:extLst>
        </c:ser>
        <c:dLbls>
          <c:showLegendKey val="0"/>
          <c:showVal val="0"/>
          <c:showCatName val="0"/>
          <c:showSerName val="0"/>
          <c:showPercent val="0"/>
          <c:showBubbleSize val="0"/>
        </c:dLbls>
        <c:axId val="1682383295"/>
        <c:axId val="1682383775"/>
      </c:scatterChart>
      <c:valAx>
        <c:axId val="168238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83775"/>
        <c:crosses val="autoZero"/>
        <c:crossBetween val="midCat"/>
      </c:valAx>
      <c:valAx>
        <c:axId val="168238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reviews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83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ratings and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Excel_jumia!$F$1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611410415803287"/>
                  <c:y val="7.7484787018255582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Excel_jumia!$E$2:$E$113</c:f>
              <c:numCache>
                <c:formatCode>0</c:formatCode>
                <c:ptCount val="112"/>
                <c:pt idx="0">
                  <c:v>2</c:v>
                </c:pt>
                <c:pt idx="1">
                  <c:v>14</c:v>
                </c:pt>
                <c:pt idx="2">
                  <c:v>24</c:v>
                </c:pt>
                <c:pt idx="3">
                  <c:v>7</c:v>
                </c:pt>
                <c:pt idx="4">
                  <c:v>2</c:v>
                </c:pt>
                <c:pt idx="5">
                  <c:v>15</c:v>
                </c:pt>
                <c:pt idx="6">
                  <c:v>55</c:v>
                </c:pt>
                <c:pt idx="7">
                  <c:v>2</c:v>
                </c:pt>
                <c:pt idx="8">
                  <c:v>2</c:v>
                </c:pt>
                <c:pt idx="9">
                  <c:v>5</c:v>
                </c:pt>
                <c:pt idx="10">
                  <c:v>12</c:v>
                </c:pt>
                <c:pt idx="11">
                  <c:v>39</c:v>
                </c:pt>
                <c:pt idx="12">
                  <c:v>3</c:v>
                </c:pt>
                <c:pt idx="13">
                  <c:v>6</c:v>
                </c:pt>
                <c:pt idx="14">
                  <c:v>9</c:v>
                </c:pt>
                <c:pt idx="15">
                  <c:v>1</c:v>
                </c:pt>
                <c:pt idx="16">
                  <c:v>2</c:v>
                </c:pt>
                <c:pt idx="17">
                  <c:v>1</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5</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6</c:v>
                </c:pt>
                <c:pt idx="62">
                  <c:v>69</c:v>
                </c:pt>
                <c:pt idx="63">
                  <c:v>15</c:v>
                </c:pt>
                <c:pt idx="64">
                  <c:v>16</c:v>
                </c:pt>
                <c:pt idx="65">
                  <c:v>6</c:v>
                </c:pt>
                <c:pt idx="66">
                  <c:v>7</c:v>
                </c:pt>
                <c:pt idx="67">
                  <c:v>5</c:v>
                </c:pt>
                <c:pt idx="68">
                  <c:v>17</c:v>
                </c:pt>
                <c:pt idx="69">
                  <c:v>5</c:v>
                </c:pt>
                <c:pt idx="70">
                  <c:v>6</c:v>
                </c:pt>
                <c:pt idx="71">
                  <c:v>5</c:v>
                </c:pt>
                <c:pt idx="72">
                  <c:v>13</c:v>
                </c:pt>
                <c:pt idx="73">
                  <c:v>7</c:v>
                </c:pt>
                <c:pt idx="74">
                  <c:v>0</c:v>
                </c:pt>
                <c:pt idx="75">
                  <c:v>0</c:v>
                </c:pt>
                <c:pt idx="76">
                  <c:v>0</c:v>
                </c:pt>
                <c:pt idx="77">
                  <c:v>0</c:v>
                </c:pt>
                <c:pt idx="78">
                  <c:v>1</c:v>
                </c:pt>
                <c:pt idx="79">
                  <c:v>5</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12</c:v>
                </c:pt>
                <c:pt idx="102">
                  <c:v>0</c:v>
                </c:pt>
                <c:pt idx="103">
                  <c:v>0</c:v>
                </c:pt>
                <c:pt idx="104">
                  <c:v>0</c:v>
                </c:pt>
                <c:pt idx="105">
                  <c:v>0</c:v>
                </c:pt>
                <c:pt idx="106">
                  <c:v>0</c:v>
                </c:pt>
                <c:pt idx="107">
                  <c:v>0</c:v>
                </c:pt>
                <c:pt idx="108">
                  <c:v>0</c:v>
                </c:pt>
                <c:pt idx="109">
                  <c:v>0</c:v>
                </c:pt>
                <c:pt idx="110">
                  <c:v>1</c:v>
                </c:pt>
                <c:pt idx="111">
                  <c:v>0</c:v>
                </c:pt>
              </c:numCache>
            </c:numRef>
          </c:xVal>
          <c:yVal>
            <c:numRef>
              <c:f>Excel_jumia!$F$2:$F$113</c:f>
              <c:numCache>
                <c:formatCode>0.0</c:formatCode>
                <c:ptCount val="112"/>
                <c:pt idx="0">
                  <c:v>4.5</c:v>
                </c:pt>
                <c:pt idx="1">
                  <c:v>4.0999999999999996</c:v>
                </c:pt>
                <c:pt idx="2">
                  <c:v>4.5999999999999996</c:v>
                </c:pt>
                <c:pt idx="3">
                  <c:v>4.7</c:v>
                </c:pt>
                <c:pt idx="4">
                  <c:v>5</c:v>
                </c:pt>
                <c:pt idx="5">
                  <c:v>4</c:v>
                </c:pt>
                <c:pt idx="6">
                  <c:v>4.5999999999999996</c:v>
                </c:pt>
                <c:pt idx="7">
                  <c:v>4</c:v>
                </c:pt>
                <c:pt idx="8">
                  <c:v>5</c:v>
                </c:pt>
                <c:pt idx="9">
                  <c:v>3.8</c:v>
                </c:pt>
                <c:pt idx="10">
                  <c:v>4.0999999999999996</c:v>
                </c:pt>
                <c:pt idx="11">
                  <c:v>4.7</c:v>
                </c:pt>
                <c:pt idx="12">
                  <c:v>5</c:v>
                </c:pt>
                <c:pt idx="13">
                  <c:v>4.5</c:v>
                </c:pt>
                <c:pt idx="14">
                  <c:v>4.2</c:v>
                </c:pt>
                <c:pt idx="15">
                  <c:v>5</c:v>
                </c:pt>
                <c:pt idx="16">
                  <c:v>5</c:v>
                </c:pt>
                <c:pt idx="17">
                  <c:v>5</c:v>
                </c:pt>
                <c:pt idx="18">
                  <c:v>4.5999999999999996</c:v>
                </c:pt>
                <c:pt idx="19">
                  <c:v>4.5999999999999996</c:v>
                </c:pt>
                <c:pt idx="20">
                  <c:v>3.3</c:v>
                </c:pt>
                <c:pt idx="21" formatCode="General">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4.8</c:v>
                </c:pt>
                <c:pt idx="37">
                  <c:v>4.3</c:v>
                </c:pt>
                <c:pt idx="38">
                  <c:v>4.5</c:v>
                </c:pt>
                <c:pt idx="39" formatCode="@">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General">
                  <c:v>0</c:v>
                </c:pt>
                <c:pt idx="59">
                  <c:v>2.5</c:v>
                </c:pt>
                <c:pt idx="60">
                  <c:v>3</c:v>
                </c:pt>
                <c:pt idx="61">
                  <c:v>2.2000000000000002</c:v>
                </c:pt>
                <c:pt idx="62">
                  <c:v>2.8</c:v>
                </c:pt>
                <c:pt idx="63">
                  <c:v>2.7</c:v>
                </c:pt>
                <c:pt idx="64">
                  <c:v>2.9</c:v>
                </c:pt>
                <c:pt idx="65">
                  <c:v>2.2000000000000002</c:v>
                </c:pt>
                <c:pt idx="66">
                  <c:v>2.2999999999999998</c:v>
                </c:pt>
                <c:pt idx="67">
                  <c:v>3</c:v>
                </c:pt>
                <c:pt idx="68">
                  <c:v>2.6</c:v>
                </c:pt>
                <c:pt idx="69">
                  <c:v>3</c:v>
                </c:pt>
                <c:pt idx="70">
                  <c:v>2.2999999999999998</c:v>
                </c:pt>
                <c:pt idx="71">
                  <c:v>3</c:v>
                </c:pt>
                <c:pt idx="72">
                  <c:v>2.1</c:v>
                </c:pt>
                <c:pt idx="73">
                  <c:v>2.1</c:v>
                </c:pt>
                <c:pt idx="74">
                  <c:v>0</c:v>
                </c:pt>
                <c:pt idx="75">
                  <c:v>0</c:v>
                </c:pt>
                <c:pt idx="76">
                  <c:v>0</c:v>
                </c:pt>
                <c:pt idx="77">
                  <c:v>0</c:v>
                </c:pt>
                <c:pt idx="78">
                  <c:v>3</c:v>
                </c:pt>
                <c:pt idx="79">
                  <c:v>4.8</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4.8</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ED9E-4CE9-AF3E-C3AD2CC99E83}"/>
            </c:ext>
          </c:extLst>
        </c:ser>
        <c:dLbls>
          <c:showLegendKey val="0"/>
          <c:showVal val="0"/>
          <c:showCatName val="0"/>
          <c:showSerName val="0"/>
          <c:showPercent val="0"/>
          <c:showBubbleSize val="0"/>
        </c:dLbls>
        <c:axId val="1682414975"/>
        <c:axId val="1682415455"/>
      </c:scatterChart>
      <c:valAx>
        <c:axId val="1682414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reviews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415455"/>
        <c:crosses val="autoZero"/>
        <c:crossBetween val="midCat"/>
      </c:valAx>
      <c:valAx>
        <c:axId val="168241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4149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[Excel_jumia.csv.xlsx]High &amp; low discount comparison!PivotTable3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Comparison between number of reviews and average ratings in high</a:t>
            </a:r>
            <a:r>
              <a:rPr lang="en-GB" baseline="0"/>
              <a:t> discount and low discount products</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3535903982875927"/>
          <c:w val="0.60898950131233598"/>
          <c:h val="0.47950554238972554"/>
        </c:manualLayout>
      </c:layout>
      <c:barChart>
        <c:barDir val="col"/>
        <c:grouping val="clustered"/>
        <c:varyColors val="0"/>
        <c:ser>
          <c:idx val="1"/>
          <c:order val="1"/>
          <c:tx>
            <c:strRef>
              <c:f>'High &amp; low discount comparison'!$C$3</c:f>
              <c:strCache>
                <c:ptCount val="1"/>
                <c:pt idx="0">
                  <c:v>Number of Reviews</c:v>
                </c:pt>
              </c:strCache>
            </c:strRef>
          </c:tx>
          <c:spPr>
            <a:solidFill>
              <a:schemeClr val="accent1">
                <a:tint val="77000"/>
              </a:schemeClr>
            </a:solidFill>
            <a:ln>
              <a:noFill/>
            </a:ln>
            <a:effectLst/>
          </c:spPr>
          <c:invertIfNegative val="0"/>
          <c:cat>
            <c:strRef>
              <c:f>'High &amp; low discount comparison'!$A$4:$A$7</c:f>
              <c:strCache>
                <c:ptCount val="3"/>
                <c:pt idx="0">
                  <c:v>High Discount</c:v>
                </c:pt>
                <c:pt idx="1">
                  <c:v>Low Discount</c:v>
                </c:pt>
                <c:pt idx="2">
                  <c:v>Medium Discount</c:v>
                </c:pt>
              </c:strCache>
            </c:strRef>
          </c:cat>
          <c:val>
            <c:numRef>
              <c:f>'High &amp; low discount comparison'!$C$4:$C$7</c:f>
              <c:numCache>
                <c:formatCode>General</c:formatCode>
                <c:ptCount val="3"/>
                <c:pt idx="0">
                  <c:v>335</c:v>
                </c:pt>
                <c:pt idx="1">
                  <c:v>38</c:v>
                </c:pt>
                <c:pt idx="2">
                  <c:v>350</c:v>
                </c:pt>
              </c:numCache>
            </c:numRef>
          </c:val>
          <c:extLst>
            <c:ext xmlns:c16="http://schemas.microsoft.com/office/drawing/2014/chart" uri="{C3380CC4-5D6E-409C-BE32-E72D297353CC}">
              <c16:uniqueId val="{00000001-1979-437C-B1C7-66DA44516D21}"/>
            </c:ext>
          </c:extLst>
        </c:ser>
        <c:dLbls>
          <c:showLegendKey val="0"/>
          <c:showVal val="0"/>
          <c:showCatName val="0"/>
          <c:showSerName val="0"/>
          <c:showPercent val="0"/>
          <c:showBubbleSize val="0"/>
        </c:dLbls>
        <c:gapWidth val="219"/>
        <c:axId val="1127130623"/>
        <c:axId val="1127131103"/>
      </c:barChart>
      <c:lineChart>
        <c:grouping val="standard"/>
        <c:varyColors val="0"/>
        <c:ser>
          <c:idx val="0"/>
          <c:order val="0"/>
          <c:tx>
            <c:strRef>
              <c:f>'High &amp; low discount comparison'!$B$3</c:f>
              <c:strCache>
                <c:ptCount val="1"/>
                <c:pt idx="0">
                  <c:v>Average of Rating</c:v>
                </c:pt>
              </c:strCache>
            </c:strRef>
          </c:tx>
          <c:spPr>
            <a:ln w="28575" cap="rnd">
              <a:solidFill>
                <a:schemeClr val="accent1">
                  <a:shade val="76000"/>
                </a:schemeClr>
              </a:solidFill>
              <a:round/>
            </a:ln>
            <a:effectLst/>
          </c:spPr>
          <c:marker>
            <c:symbol val="none"/>
          </c:marker>
          <c:cat>
            <c:strRef>
              <c:f>'High &amp; low discount comparison'!$A$4:$A$7</c:f>
              <c:strCache>
                <c:ptCount val="3"/>
                <c:pt idx="0">
                  <c:v>High Discount</c:v>
                </c:pt>
                <c:pt idx="1">
                  <c:v>Low Discount</c:v>
                </c:pt>
                <c:pt idx="2">
                  <c:v>Medium Discount</c:v>
                </c:pt>
              </c:strCache>
            </c:strRef>
          </c:cat>
          <c:val>
            <c:numRef>
              <c:f>'High &amp; low discount comparison'!$B$4:$B$7</c:f>
              <c:numCache>
                <c:formatCode>0.0</c:formatCode>
                <c:ptCount val="3"/>
                <c:pt idx="0">
                  <c:v>3.6580645161290311</c:v>
                </c:pt>
                <c:pt idx="1">
                  <c:v>3.7249999999999996</c:v>
                </c:pt>
                <c:pt idx="2">
                  <c:v>4.245454545454546</c:v>
                </c:pt>
              </c:numCache>
            </c:numRef>
          </c:val>
          <c:smooth val="0"/>
          <c:extLst>
            <c:ext xmlns:c16="http://schemas.microsoft.com/office/drawing/2014/chart" uri="{C3380CC4-5D6E-409C-BE32-E72D297353CC}">
              <c16:uniqueId val="{00000000-7FF9-4B03-8917-41FEBA85C77E}"/>
            </c:ext>
          </c:extLst>
        </c:ser>
        <c:dLbls>
          <c:showLegendKey val="0"/>
          <c:showVal val="0"/>
          <c:showCatName val="0"/>
          <c:showSerName val="0"/>
          <c:showPercent val="0"/>
          <c:showBubbleSize val="0"/>
        </c:dLbls>
        <c:marker val="1"/>
        <c:smooth val="0"/>
        <c:axId val="1436679935"/>
        <c:axId val="1436679455"/>
      </c:lineChart>
      <c:catAx>
        <c:axId val="11271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31103"/>
        <c:crosses val="autoZero"/>
        <c:auto val="1"/>
        <c:lblAlgn val="ctr"/>
        <c:lblOffset val="100"/>
        <c:noMultiLvlLbl val="0"/>
      </c:catAx>
      <c:valAx>
        <c:axId val="112713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30623"/>
        <c:crosses val="autoZero"/>
        <c:crossBetween val="between"/>
      </c:valAx>
      <c:valAx>
        <c:axId val="1436679455"/>
        <c:scaling>
          <c:orientation val="minMax"/>
          <c:min val="3"/>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79935"/>
        <c:crosses val="max"/>
        <c:crossBetween val="between"/>
      </c:valAx>
      <c:catAx>
        <c:axId val="1436679935"/>
        <c:scaling>
          <c:orientation val="minMax"/>
        </c:scaling>
        <c:delete val="1"/>
        <c:axPos val="b"/>
        <c:numFmt formatCode="General" sourceLinked="1"/>
        <c:majorTickMark val="out"/>
        <c:minorTickMark val="none"/>
        <c:tickLblPos val="nextTo"/>
        <c:crossAx val="1436679455"/>
        <c:auto val="1"/>
        <c:lblAlgn val="ctr"/>
        <c:lblOffset val="100"/>
        <c:noMultiLvlLbl val="0"/>
      </c:catAx>
      <c:spPr>
        <a:noFill/>
        <a:ln>
          <a:noFill/>
        </a:ln>
        <a:effectLst/>
      </c:spPr>
    </c:plotArea>
    <c:legend>
      <c:legendPos val="r"/>
      <c:layout>
        <c:manualLayout>
          <c:xMode val="edge"/>
          <c:yMode val="edge"/>
          <c:x val="0.77779024496937887"/>
          <c:y val="0.48104854368932037"/>
          <c:w val="0.22220973602289923"/>
          <c:h val="0.13106887852610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[Excel_jumia.csv.xlsx]Product Categories!PivotTable4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 of 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w="25400">
            <a:solidFill>
              <a:schemeClr val="lt1"/>
            </a:solidFill>
          </a:ln>
          <a:effectLst/>
          <a:sp3d contourW="25400">
            <a:contourClr>
              <a:schemeClr val="lt1"/>
            </a:contourClr>
          </a:sp3d>
        </c:spPr>
      </c:pivotFmt>
      <c:pivotFmt>
        <c:idx val="2"/>
        <c:spPr>
          <a:solidFill>
            <a:schemeClr val="accent2">
              <a:shade val="86000"/>
            </a:schemeClr>
          </a:solidFill>
          <a:ln w="25400">
            <a:solidFill>
              <a:schemeClr val="lt1"/>
            </a:solidFill>
          </a:ln>
          <a:effectLst/>
          <a:sp3d contourW="25400">
            <a:contourClr>
              <a:schemeClr val="lt1"/>
            </a:contourClr>
          </a:sp3d>
        </c:spPr>
      </c:pivotFmt>
      <c:pivotFmt>
        <c:idx val="3"/>
        <c:spPr>
          <a:solidFill>
            <a:schemeClr val="accent2">
              <a:tint val="86000"/>
            </a:schemeClr>
          </a:solidFill>
          <a:ln w="25400">
            <a:solidFill>
              <a:schemeClr val="lt1"/>
            </a:solidFill>
          </a:ln>
          <a:effectLst/>
          <a:sp3d contourW="25400">
            <a:contourClr>
              <a:schemeClr val="lt1"/>
            </a:contourClr>
          </a:sp3d>
        </c:spPr>
      </c:pivotFmt>
      <c:pivotFmt>
        <c:idx val="4"/>
        <c:spPr>
          <a:solidFill>
            <a:schemeClr val="accent2">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Categories'!$B$3</c:f>
              <c:strCache>
                <c:ptCount val="1"/>
                <c:pt idx="0">
                  <c:v>Total</c:v>
                </c:pt>
              </c:strCache>
            </c:strRef>
          </c:tx>
          <c:dPt>
            <c:idx val="0"/>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F2-4AD5-8EF5-1C9BCF41B48A}"/>
              </c:ext>
            </c:extLst>
          </c:dPt>
          <c:dPt>
            <c:idx val="1"/>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F2-4AD5-8EF5-1C9BCF41B48A}"/>
              </c:ext>
            </c:extLst>
          </c:dPt>
          <c:dPt>
            <c:idx val="2"/>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F2-4AD5-8EF5-1C9BCF41B48A}"/>
              </c:ext>
            </c:extLst>
          </c:dPt>
          <c:dPt>
            <c:idx val="3"/>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4F2-4AD5-8EF5-1C9BCF41B48A}"/>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Categories'!$A$4:$A$8</c:f>
              <c:strCache>
                <c:ptCount val="4"/>
                <c:pt idx="0">
                  <c:v>Average</c:v>
                </c:pt>
                <c:pt idx="1">
                  <c:v>Excellent</c:v>
                </c:pt>
                <c:pt idx="2">
                  <c:v>Poor</c:v>
                </c:pt>
                <c:pt idx="3">
                  <c:v>Not Rated</c:v>
                </c:pt>
              </c:strCache>
            </c:strRef>
          </c:cat>
          <c:val>
            <c:numRef>
              <c:f>'Product Categories'!$B$4:$B$8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0-1D22-4D46-B508-D567D330DC4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[Excel_jumia.csv.xlsx]Product Categories!PivotTable5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Breakdown of products by discount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Categories'!$B$10</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73C-420E-9EF6-C68F3C3E63D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3C-420E-9EF6-C68F3C3E63D6}"/>
              </c:ext>
            </c:extLst>
          </c:dPt>
          <c:dPt>
            <c:idx val="2"/>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3C-420E-9EF6-C68F3C3E63D6}"/>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Categories'!$A$11:$A$14</c:f>
              <c:strCache>
                <c:ptCount val="3"/>
                <c:pt idx="0">
                  <c:v>High Discount</c:v>
                </c:pt>
                <c:pt idx="1">
                  <c:v>Low Discount</c:v>
                </c:pt>
                <c:pt idx="2">
                  <c:v>Medium Discount</c:v>
                </c:pt>
              </c:strCache>
            </c:strRef>
          </c:cat>
          <c:val>
            <c:numRef>
              <c:f>'Product Categories'!$B$11:$B$14</c:f>
              <c:numCache>
                <c:formatCode>General</c:formatCode>
                <c:ptCount val="3"/>
                <c:pt idx="0">
                  <c:v>63</c:v>
                </c:pt>
                <c:pt idx="1">
                  <c:v>18</c:v>
                </c:pt>
                <c:pt idx="2">
                  <c:v>31</c:v>
                </c:pt>
              </c:numCache>
            </c:numRef>
          </c:val>
          <c:extLst>
            <c:ext xmlns:c16="http://schemas.microsoft.com/office/drawing/2014/chart" uri="{C3380CC4-5D6E-409C-BE32-E72D297353CC}">
              <c16:uniqueId val="{00000000-8227-4E81-8922-B951D74307D8}"/>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[Excel_jumia.csv.xlsx]Top Products By Rating!PivotTable14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'Top Products By Rating'!$B$4:$B$14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3A9F-4555-BE17-5FE17862F4E9}"/>
            </c:ext>
          </c:extLst>
        </c:ser>
        <c:dLbls>
          <c:showLegendKey val="0"/>
          <c:showVal val="0"/>
          <c:showCatName val="0"/>
          <c:showSerName val="0"/>
          <c:showPercent val="0"/>
          <c:showBubbleSize val="0"/>
        </c:dLbls>
        <c:gapWidth val="182"/>
        <c:axId val="2129924479"/>
        <c:axId val="2129926399"/>
      </c:barChart>
      <c:catAx>
        <c:axId val="212992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26399"/>
        <c:crosses val="autoZero"/>
        <c:auto val="1"/>
        <c:lblAlgn val="ctr"/>
        <c:lblOffset val="100"/>
        <c:noMultiLvlLbl val="0"/>
      </c:catAx>
      <c:valAx>
        <c:axId val="2129926399"/>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[Excel_jumia.csv.xlsx]Top Products By Reviews!PivotTable17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Reviews'!$B$3</c:f>
              <c:strCache>
                <c:ptCount val="1"/>
                <c:pt idx="0">
                  <c:v>Total</c:v>
                </c:pt>
              </c:strCache>
            </c:strRef>
          </c:tx>
          <c:spPr>
            <a:solidFill>
              <a:schemeClr val="accent1"/>
            </a:solidFill>
            <a:ln>
              <a:noFill/>
            </a:ln>
            <a:effectLst/>
          </c:spPr>
          <c:invertIfNegative val="0"/>
          <c:cat>
            <c:strRef>
              <c:f>'Top Products By Reviews'!$A$4:$A$14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'Top Products By Reviews'!$B$4:$B$14</c:f>
              <c:numCache>
                <c:formatCode>0</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3541-4A53-8C8B-3D4AC56A76A0}"/>
            </c:ext>
          </c:extLst>
        </c:ser>
        <c:dLbls>
          <c:showLegendKey val="0"/>
          <c:showVal val="0"/>
          <c:showCatName val="0"/>
          <c:showSerName val="0"/>
          <c:showPercent val="0"/>
          <c:showBubbleSize val="0"/>
        </c:dLbls>
        <c:gapWidth val="182"/>
        <c:axId val="2123124735"/>
        <c:axId val="2123125695"/>
      </c:barChart>
      <c:catAx>
        <c:axId val="212312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25695"/>
        <c:crosses val="autoZero"/>
        <c:auto val="1"/>
        <c:lblAlgn val="ctr"/>
        <c:lblOffset val="100"/>
        <c:noMultiLvlLbl val="0"/>
      </c:catAx>
      <c:valAx>
        <c:axId val="2123125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2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[Excel_jumia.csv.xlsx]Top Products by Discount!PivotTable18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Discount'!$B$3</c:f>
              <c:strCache>
                <c:ptCount val="1"/>
                <c:pt idx="0">
                  <c:v>Total</c:v>
                </c:pt>
              </c:strCache>
            </c:strRef>
          </c:tx>
          <c:spPr>
            <a:solidFill>
              <a:schemeClr val="accent1"/>
            </a:solidFill>
            <a:ln>
              <a:noFill/>
            </a:ln>
            <a:effectLst/>
          </c:spPr>
          <c:invertIfNegative val="0"/>
          <c:cat>
            <c:strRef>
              <c:f>'Top Products by Discount'!$A$4:$A$15</c:f>
              <c:strCache>
                <c:ptCount val="11"/>
                <c:pt idx="0">
                  <c:v>Exfoliate And Exfoliate Face Towel - Black</c:v>
                </c:pt>
                <c:pt idx="1">
                  <c:v>Intelligent  LED Body Sensor Wireless Lighting Night Light USB</c:v>
                </c:pt>
                <c:pt idx="2">
                  <c:v>3PCS Single Head Knitting Crochet Sweater Needle Set</c:v>
                </c:pt>
                <c:pt idx="3">
                  <c:v>Classic Black Cat Cotton Hemp Pillow Case For Home Car</c:v>
                </c:pt>
                <c:pt idx="4">
                  <c:v>Mythco 120COB Solar Wall Ligt With Motion Sensor And Remote Control 3 Modes</c:v>
                </c:pt>
                <c:pt idx="5">
                  <c:v>LASA 3 Tier Bamboo Shoe Bench Storage Shelf</c:v>
                </c:pt>
                <c:pt idx="6">
                  <c:v>Simple Metal Dog Art Sculpture Decoration For Home Office</c:v>
                </c:pt>
                <c:pt idx="7">
                  <c:v>LASA FOLDING TABLE SERVING STAND</c:v>
                </c:pt>
                <c:pt idx="8">
                  <c:v>5-PCS Stainless Steel Cooking Pot Set With Steamed Slices</c:v>
                </c:pt>
                <c:pt idx="9">
                  <c:v>Creative Owl Shape Keychain Black</c:v>
                </c:pt>
                <c:pt idx="10">
                  <c:v>6 In 1 Bottle Can Opener Multifunctional Easy Opener</c:v>
                </c:pt>
              </c:strCache>
            </c:strRef>
          </c:cat>
          <c:val>
            <c:numRef>
              <c:f>'Top Products by Discount'!$B$4:$B$15</c:f>
              <c:numCache>
                <c:formatCode>0%</c:formatCode>
                <c:ptCount val="11"/>
                <c:pt idx="0">
                  <c:v>0.52</c:v>
                </c:pt>
                <c:pt idx="1">
                  <c:v>0.52</c:v>
                </c:pt>
                <c:pt idx="2">
                  <c:v>0.53</c:v>
                </c:pt>
                <c:pt idx="3">
                  <c:v>0.53</c:v>
                </c:pt>
                <c:pt idx="4">
                  <c:v>0.54</c:v>
                </c:pt>
                <c:pt idx="5">
                  <c:v>0.54</c:v>
                </c:pt>
                <c:pt idx="6">
                  <c:v>0.55000000000000004</c:v>
                </c:pt>
                <c:pt idx="7">
                  <c:v>0.55000000000000004</c:v>
                </c:pt>
                <c:pt idx="8">
                  <c:v>0.55000000000000004</c:v>
                </c:pt>
                <c:pt idx="9">
                  <c:v>0.61</c:v>
                </c:pt>
                <c:pt idx="10">
                  <c:v>0.64</c:v>
                </c:pt>
              </c:numCache>
            </c:numRef>
          </c:val>
          <c:extLst>
            <c:ext xmlns:c16="http://schemas.microsoft.com/office/drawing/2014/chart" uri="{C3380CC4-5D6E-409C-BE32-E72D297353CC}">
              <c16:uniqueId val="{00000000-0DD0-43CC-923F-2D55085A56C8}"/>
            </c:ext>
          </c:extLst>
        </c:ser>
        <c:dLbls>
          <c:showLegendKey val="0"/>
          <c:showVal val="0"/>
          <c:showCatName val="0"/>
          <c:showSerName val="0"/>
          <c:showPercent val="0"/>
          <c:showBubbleSize val="0"/>
        </c:dLbls>
        <c:gapWidth val="182"/>
        <c:axId val="2123150655"/>
        <c:axId val="2123151135"/>
      </c:barChart>
      <c:catAx>
        <c:axId val="21231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51135"/>
        <c:crosses val="autoZero"/>
        <c:auto val="1"/>
        <c:lblAlgn val="ctr"/>
        <c:lblOffset val="100"/>
        <c:noMultiLvlLbl val="0"/>
      </c:catAx>
      <c:valAx>
        <c:axId val="21231511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5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590550</xdr:colOff>
      <xdr:row>1</xdr:row>
      <xdr:rowOff>0</xdr:rowOff>
    </xdr:from>
    <xdr:to>
      <xdr:col>27</xdr:col>
      <xdr:colOff>226786</xdr:colOff>
      <xdr:row>5</xdr:row>
      <xdr:rowOff>63500</xdr:rowOff>
    </xdr:to>
    <xdr:sp macro="" textlink="">
      <xdr:nvSpPr>
        <xdr:cNvPr id="2" name="Rectangle: Rounded Corners 1">
          <a:extLst>
            <a:ext uri="{FF2B5EF4-FFF2-40B4-BE49-F238E27FC236}">
              <a16:creationId xmlns:a16="http://schemas.microsoft.com/office/drawing/2014/main" id="{1FEADCDE-6919-46BD-2DB5-5CE785ABB9B8}"/>
            </a:ext>
          </a:extLst>
        </xdr:cNvPr>
        <xdr:cNvSpPr/>
      </xdr:nvSpPr>
      <xdr:spPr>
        <a:xfrm>
          <a:off x="590550" y="181429"/>
          <a:ext cx="16046450" cy="78921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4400"/>
            <a:t>Jumia Product Performance Dashboard</a:t>
          </a:r>
        </a:p>
      </xdr:txBody>
    </xdr:sp>
    <xdr:clientData/>
  </xdr:twoCellAnchor>
  <xdr:twoCellAnchor>
    <xdr:from>
      <xdr:col>0</xdr:col>
      <xdr:colOff>607482</xdr:colOff>
      <xdr:row>6</xdr:row>
      <xdr:rowOff>0</xdr:rowOff>
    </xdr:from>
    <xdr:to>
      <xdr:col>7</xdr:col>
      <xdr:colOff>90649</xdr:colOff>
      <xdr:row>11</xdr:row>
      <xdr:rowOff>1</xdr:rowOff>
    </xdr:to>
    <xdr:sp macro="" textlink="">
      <xdr:nvSpPr>
        <xdr:cNvPr id="3" name="Rectangle: Rounded Corners 2">
          <a:extLst>
            <a:ext uri="{FF2B5EF4-FFF2-40B4-BE49-F238E27FC236}">
              <a16:creationId xmlns:a16="http://schemas.microsoft.com/office/drawing/2014/main" id="{D82BF573-8D16-926F-51E4-87154398DACB}"/>
            </a:ext>
          </a:extLst>
        </xdr:cNvPr>
        <xdr:cNvSpPr/>
      </xdr:nvSpPr>
      <xdr:spPr>
        <a:xfrm>
          <a:off x="607482" y="1079500"/>
          <a:ext cx="3780000" cy="89958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2200" b="1"/>
            <a:t>Total Number Of Products</a:t>
          </a:r>
        </a:p>
        <a:p>
          <a:pPr algn="ctr"/>
          <a:r>
            <a:rPr lang="en-GB" sz="2200" b="1">
              <a:solidFill>
                <a:srgbClr val="FF0000"/>
              </a:solidFill>
            </a:rPr>
            <a:t>112</a:t>
          </a:r>
        </a:p>
      </xdr:txBody>
    </xdr:sp>
    <xdr:clientData/>
  </xdr:twoCellAnchor>
  <xdr:twoCellAnchor>
    <xdr:from>
      <xdr:col>7</xdr:col>
      <xdr:colOff>455085</xdr:colOff>
      <xdr:row>6</xdr:row>
      <xdr:rowOff>1</xdr:rowOff>
    </xdr:from>
    <xdr:to>
      <xdr:col>13</xdr:col>
      <xdr:colOff>552085</xdr:colOff>
      <xdr:row>11</xdr:row>
      <xdr:rowOff>0</xdr:rowOff>
    </xdr:to>
    <xdr:sp macro="" textlink="">
      <xdr:nvSpPr>
        <xdr:cNvPr id="7" name="Rectangle: Rounded Corners 6">
          <a:extLst>
            <a:ext uri="{FF2B5EF4-FFF2-40B4-BE49-F238E27FC236}">
              <a16:creationId xmlns:a16="http://schemas.microsoft.com/office/drawing/2014/main" id="{CA0E5EB7-88A1-406F-9ABD-9F3D4FA66D3A}"/>
            </a:ext>
          </a:extLst>
        </xdr:cNvPr>
        <xdr:cNvSpPr/>
      </xdr:nvSpPr>
      <xdr:spPr>
        <a:xfrm>
          <a:off x="4751918" y="1079501"/>
          <a:ext cx="3780000" cy="89958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2200" b="1"/>
            <a:t>Average Rating</a:t>
          </a:r>
        </a:p>
        <a:p>
          <a:pPr algn="ctr"/>
          <a:r>
            <a:rPr lang="en-GB" sz="2200" b="1">
              <a:solidFill>
                <a:srgbClr val="FF0000"/>
              </a:solidFill>
            </a:rPr>
            <a:t>3.89</a:t>
          </a:r>
        </a:p>
      </xdr:txBody>
    </xdr:sp>
    <xdr:clientData/>
  </xdr:twoCellAnchor>
  <xdr:twoCellAnchor>
    <xdr:from>
      <xdr:col>21</xdr:col>
      <xdr:colOff>127001</xdr:colOff>
      <xdr:row>6</xdr:row>
      <xdr:rowOff>1</xdr:rowOff>
    </xdr:from>
    <xdr:to>
      <xdr:col>27</xdr:col>
      <xdr:colOff>224001</xdr:colOff>
      <xdr:row>11</xdr:row>
      <xdr:rowOff>0</xdr:rowOff>
    </xdr:to>
    <xdr:sp macro="" textlink="">
      <xdr:nvSpPr>
        <xdr:cNvPr id="8" name="Rectangle: Rounded Corners 7">
          <a:extLst>
            <a:ext uri="{FF2B5EF4-FFF2-40B4-BE49-F238E27FC236}">
              <a16:creationId xmlns:a16="http://schemas.microsoft.com/office/drawing/2014/main" id="{D143771E-15E0-4813-8BB9-2DA9BAD5A597}"/>
            </a:ext>
          </a:extLst>
        </xdr:cNvPr>
        <xdr:cNvSpPr/>
      </xdr:nvSpPr>
      <xdr:spPr>
        <a:xfrm>
          <a:off x="13017501" y="1079501"/>
          <a:ext cx="3780000" cy="89958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2200" b="1"/>
            <a:t>Average Discount</a:t>
          </a:r>
          <a:r>
            <a:rPr lang="en-GB" sz="2200" b="1" baseline="0"/>
            <a:t> Percentage</a:t>
          </a:r>
        </a:p>
        <a:p>
          <a:pPr algn="ctr"/>
          <a:r>
            <a:rPr lang="en-GB" sz="2200" b="1" baseline="0">
              <a:solidFill>
                <a:srgbClr val="FF0000"/>
              </a:solidFill>
            </a:rPr>
            <a:t>37%</a:t>
          </a:r>
          <a:endParaRPr lang="en-GB" sz="2200" b="1">
            <a:solidFill>
              <a:srgbClr val="FF0000"/>
            </a:solidFill>
          </a:endParaRPr>
        </a:p>
      </xdr:txBody>
    </xdr:sp>
    <xdr:clientData/>
  </xdr:twoCellAnchor>
  <xdr:twoCellAnchor>
    <xdr:from>
      <xdr:col>14</xdr:col>
      <xdr:colOff>306923</xdr:colOff>
      <xdr:row>6</xdr:row>
      <xdr:rowOff>1510</xdr:rowOff>
    </xdr:from>
    <xdr:to>
      <xdr:col>20</xdr:col>
      <xdr:colOff>403923</xdr:colOff>
      <xdr:row>11</xdr:row>
      <xdr:rowOff>0</xdr:rowOff>
    </xdr:to>
    <xdr:sp macro="" textlink="">
      <xdr:nvSpPr>
        <xdr:cNvPr id="9" name="Rectangle: Rounded Corners 8">
          <a:extLst>
            <a:ext uri="{FF2B5EF4-FFF2-40B4-BE49-F238E27FC236}">
              <a16:creationId xmlns:a16="http://schemas.microsoft.com/office/drawing/2014/main" id="{DB3131D2-0FBA-4CD0-9C92-0ADCC45B09D9}"/>
            </a:ext>
          </a:extLst>
        </xdr:cNvPr>
        <xdr:cNvSpPr/>
      </xdr:nvSpPr>
      <xdr:spPr>
        <a:xfrm>
          <a:off x="8900590" y="1081010"/>
          <a:ext cx="3780000" cy="89807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2200" b="1"/>
            <a:t>Total Number Of Reviews</a:t>
          </a:r>
        </a:p>
        <a:p>
          <a:pPr algn="ctr"/>
          <a:r>
            <a:rPr lang="en-GB" sz="2200" b="1">
              <a:solidFill>
                <a:srgbClr val="FF0000"/>
              </a:solidFill>
            </a:rPr>
            <a:t>723</a:t>
          </a:r>
        </a:p>
      </xdr:txBody>
    </xdr:sp>
    <xdr:clientData/>
  </xdr:twoCellAnchor>
  <xdr:twoCellAnchor editAs="oneCell">
    <xdr:from>
      <xdr:col>1</xdr:col>
      <xdr:colOff>0</xdr:colOff>
      <xdr:row>11</xdr:row>
      <xdr:rowOff>158749</xdr:rowOff>
    </xdr:from>
    <xdr:to>
      <xdr:col>5</xdr:col>
      <xdr:colOff>0</xdr:colOff>
      <xdr:row>20</xdr:row>
      <xdr:rowOff>179916</xdr:rowOff>
    </xdr:to>
    <mc:AlternateContent xmlns:mc="http://schemas.openxmlformats.org/markup-compatibility/2006">
      <mc:Choice xmlns:a14="http://schemas.microsoft.com/office/drawing/2010/main" Requires="a14">
        <xdr:graphicFrame macro="">
          <xdr:nvGraphicFramePr>
            <xdr:cNvPr id="17" name="Rating Category 2">
              <a:extLst>
                <a:ext uri="{FF2B5EF4-FFF2-40B4-BE49-F238E27FC236}">
                  <a16:creationId xmlns:a16="http://schemas.microsoft.com/office/drawing/2014/main" id="{F53C3A61-846F-4888-9455-B29CDA81B63E}"/>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dr:sp macro="" textlink="">
          <xdr:nvSpPr>
            <xdr:cNvPr id="0" name=""/>
            <xdr:cNvSpPr>
              <a:spLocks noTextEdit="1"/>
            </xdr:cNvSpPr>
          </xdr:nvSpPr>
          <xdr:spPr>
            <a:xfrm>
              <a:off x="613833" y="2137832"/>
              <a:ext cx="2455334" cy="16404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21</xdr:row>
      <xdr:rowOff>136075</xdr:rowOff>
    </xdr:from>
    <xdr:to>
      <xdr:col>5</xdr:col>
      <xdr:colOff>0</xdr:colOff>
      <xdr:row>29</xdr:row>
      <xdr:rowOff>136075</xdr:rowOff>
    </xdr:to>
    <mc:AlternateContent xmlns:mc="http://schemas.openxmlformats.org/markup-compatibility/2006">
      <mc:Choice xmlns:a14="http://schemas.microsoft.com/office/drawing/2010/main" Requires="a14">
        <xdr:graphicFrame macro="">
          <xdr:nvGraphicFramePr>
            <xdr:cNvPr id="18" name="Discount Category 2">
              <a:extLst>
                <a:ext uri="{FF2B5EF4-FFF2-40B4-BE49-F238E27FC236}">
                  <a16:creationId xmlns:a16="http://schemas.microsoft.com/office/drawing/2014/main" id="{20648962-CA27-47DE-BF17-6ACB45834EE8}"/>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dr:sp macro="" textlink="">
          <xdr:nvSpPr>
            <xdr:cNvPr id="0" name=""/>
            <xdr:cNvSpPr>
              <a:spLocks noTextEdit="1"/>
            </xdr:cNvSpPr>
          </xdr:nvSpPr>
          <xdr:spPr>
            <a:xfrm>
              <a:off x="613833" y="3914325"/>
              <a:ext cx="2455334" cy="14393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256125</xdr:colOff>
      <xdr:row>11</xdr:row>
      <xdr:rowOff>146049</xdr:rowOff>
    </xdr:from>
    <xdr:to>
      <xdr:col>12</xdr:col>
      <xdr:colOff>308925</xdr:colOff>
      <xdr:row>27</xdr:row>
      <xdr:rowOff>158049</xdr:rowOff>
    </xdr:to>
    <xdr:graphicFrame macro="">
      <xdr:nvGraphicFramePr>
        <xdr:cNvPr id="4" name="Chart 3">
          <a:extLst>
            <a:ext uri="{FF2B5EF4-FFF2-40B4-BE49-F238E27FC236}">
              <a16:creationId xmlns:a16="http://schemas.microsoft.com/office/drawing/2014/main" id="{6A88EC19-DD3B-4514-B275-62E14124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148169</xdr:colOff>
      <xdr:row>30</xdr:row>
      <xdr:rowOff>74087</xdr:rowOff>
    </xdr:from>
    <xdr:to>
      <xdr:col>15</xdr:col>
      <xdr:colOff>200969</xdr:colOff>
      <xdr:row>46</xdr:row>
      <xdr:rowOff>86087</xdr:rowOff>
    </xdr:to>
    <xdr:graphicFrame macro="">
      <xdr:nvGraphicFramePr>
        <xdr:cNvPr id="12" name="Chart 11">
          <a:extLst>
            <a:ext uri="{FF2B5EF4-FFF2-40B4-BE49-F238E27FC236}">
              <a16:creationId xmlns:a16="http://schemas.microsoft.com/office/drawing/2014/main" id="{41A0D892-794A-4658-8A15-E022C8D81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582083</xdr:colOff>
      <xdr:row>30</xdr:row>
      <xdr:rowOff>74087</xdr:rowOff>
    </xdr:from>
    <xdr:to>
      <xdr:col>8</xdr:col>
      <xdr:colOff>21049</xdr:colOff>
      <xdr:row>46</xdr:row>
      <xdr:rowOff>86086</xdr:rowOff>
    </xdr:to>
    <xdr:graphicFrame macro="">
      <xdr:nvGraphicFramePr>
        <xdr:cNvPr id="13" name="Chart 12">
          <a:extLst>
            <a:ext uri="{FF2B5EF4-FFF2-40B4-BE49-F238E27FC236}">
              <a16:creationId xmlns:a16="http://schemas.microsoft.com/office/drawing/2014/main" id="{0DED43CF-77EC-4671-BA35-984188EE0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444503</xdr:colOff>
      <xdr:row>30</xdr:row>
      <xdr:rowOff>50805</xdr:rowOff>
    </xdr:from>
    <xdr:to>
      <xdr:col>27</xdr:col>
      <xdr:colOff>190500</xdr:colOff>
      <xdr:row>46</xdr:row>
      <xdr:rowOff>62805</xdr:rowOff>
    </xdr:to>
    <xdr:graphicFrame macro="">
      <xdr:nvGraphicFramePr>
        <xdr:cNvPr id="14" name="Chart 13">
          <a:extLst>
            <a:ext uri="{FF2B5EF4-FFF2-40B4-BE49-F238E27FC236}">
              <a16:creationId xmlns:a16="http://schemas.microsoft.com/office/drawing/2014/main" id="{5C7E6623-2E55-4141-B065-B5800197A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334435</xdr:colOff>
      <xdr:row>30</xdr:row>
      <xdr:rowOff>65621</xdr:rowOff>
    </xdr:from>
    <xdr:to>
      <xdr:col>21</xdr:col>
      <xdr:colOff>306918</xdr:colOff>
      <xdr:row>46</xdr:row>
      <xdr:rowOff>67037</xdr:rowOff>
    </xdr:to>
    <xdr:graphicFrame macro="">
      <xdr:nvGraphicFramePr>
        <xdr:cNvPr id="15" name="Chart 14">
          <a:extLst>
            <a:ext uri="{FF2B5EF4-FFF2-40B4-BE49-F238E27FC236}">
              <a16:creationId xmlns:a16="http://schemas.microsoft.com/office/drawing/2014/main" id="{D355E943-08EA-48BB-8C8E-589807052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517075</xdr:colOff>
      <xdr:row>11</xdr:row>
      <xdr:rowOff>163286</xdr:rowOff>
    </xdr:from>
    <xdr:to>
      <xdr:col>19</xdr:col>
      <xdr:colOff>571775</xdr:colOff>
      <xdr:row>27</xdr:row>
      <xdr:rowOff>176429</xdr:rowOff>
    </xdr:to>
    <xdr:graphicFrame macro="">
      <xdr:nvGraphicFramePr>
        <xdr:cNvPr id="19" name="Chart 18">
          <a:extLst>
            <a:ext uri="{FF2B5EF4-FFF2-40B4-BE49-F238E27FC236}">
              <a16:creationId xmlns:a16="http://schemas.microsoft.com/office/drawing/2014/main" id="{BC52DA57-5BED-4C3B-AE3B-85F3D6B35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163286</xdr:colOff>
      <xdr:row>11</xdr:row>
      <xdr:rowOff>163285</xdr:rowOff>
    </xdr:from>
    <xdr:to>
      <xdr:col>27</xdr:col>
      <xdr:colOff>217986</xdr:colOff>
      <xdr:row>27</xdr:row>
      <xdr:rowOff>176428</xdr:rowOff>
    </xdr:to>
    <xdr:graphicFrame macro="">
      <xdr:nvGraphicFramePr>
        <xdr:cNvPr id="20" name="Chart 19">
          <a:extLst>
            <a:ext uri="{FF2B5EF4-FFF2-40B4-BE49-F238E27FC236}">
              <a16:creationId xmlns:a16="http://schemas.microsoft.com/office/drawing/2014/main" id="{956C1625-E5A3-4F4B-A134-9497CAED6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0</xdr:colOff>
      <xdr:row>18</xdr:row>
      <xdr:rowOff>0</xdr:rowOff>
    </xdr:to>
    <xdr:graphicFrame macro="">
      <xdr:nvGraphicFramePr>
        <xdr:cNvPr id="4" name="Chart 3">
          <a:extLst>
            <a:ext uri="{FF2B5EF4-FFF2-40B4-BE49-F238E27FC236}">
              <a16:creationId xmlns:a16="http://schemas.microsoft.com/office/drawing/2014/main" id="{87A8AF96-9420-4D67-B4B9-E8DB25E55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0</xdr:colOff>
      <xdr:row>18</xdr:row>
      <xdr:rowOff>0</xdr:rowOff>
    </xdr:to>
    <xdr:graphicFrame macro="">
      <xdr:nvGraphicFramePr>
        <xdr:cNvPr id="3" name="Chart 2">
          <a:extLst>
            <a:ext uri="{FF2B5EF4-FFF2-40B4-BE49-F238E27FC236}">
              <a16:creationId xmlns:a16="http://schemas.microsoft.com/office/drawing/2014/main" id="{995FF107-A019-4782-B34B-A0F9986E5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298450</xdr:colOff>
      <xdr:row>0</xdr:row>
      <xdr:rowOff>133350</xdr:rowOff>
    </xdr:from>
    <xdr:to>
      <xdr:col>12</xdr:col>
      <xdr:colOff>0</xdr:colOff>
      <xdr:row>18</xdr:row>
      <xdr:rowOff>88900</xdr:rowOff>
    </xdr:to>
    <xdr:graphicFrame macro="">
      <xdr:nvGraphicFramePr>
        <xdr:cNvPr id="2" name="Chart 1">
          <a:extLst>
            <a:ext uri="{FF2B5EF4-FFF2-40B4-BE49-F238E27FC236}">
              <a16:creationId xmlns:a16="http://schemas.microsoft.com/office/drawing/2014/main" id="{391F59FF-413D-B4A7-78F0-4AC62D8B2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234950</xdr:colOff>
      <xdr:row>7</xdr:row>
      <xdr:rowOff>165100</xdr:rowOff>
    </xdr:from>
    <xdr:to>
      <xdr:col>1</xdr:col>
      <xdr:colOff>971550</xdr:colOff>
      <xdr:row>21</xdr:row>
      <xdr:rowOff>111125</xdr:rowOff>
    </xdr:to>
    <mc:AlternateContent xmlns:mc="http://schemas.openxmlformats.org/markup-compatibility/2006">
      <mc:Choice xmlns:a14="http://schemas.microsoft.com/office/drawing/2010/main" Requires="a14">
        <xdr:graphicFrame macro="">
          <xdr:nvGraphicFramePr>
            <xdr:cNvPr id="7" name="Discount Category 3">
              <a:extLst>
                <a:ext uri="{FF2B5EF4-FFF2-40B4-BE49-F238E27FC236}">
                  <a16:creationId xmlns:a16="http://schemas.microsoft.com/office/drawing/2014/main" id="{4EB171A0-C86A-43DF-BF77-750274BE5C07}"/>
                </a:ext>
              </a:extLst>
            </xdr:cNvPr>
            <xdr:cNvGraphicFramePr/>
          </xdr:nvGraphicFramePr>
          <xdr:xfrm>
            <a:off x="0" y="0"/>
            <a:ext cx="0" cy="0"/>
          </xdr:xfrm>
          <a:graphic>
            <a:graphicData uri="http://schemas.microsoft.com/office/drawing/2010/slicer">
              <sle:slicer xmlns:sle="http://schemas.microsoft.com/office/drawing/2010/slicer" name="Discount Category 3"/>
            </a:graphicData>
          </a:graphic>
        </xdr:graphicFrame>
      </mc:Choice>
      <mc:Fallback>
        <xdr:sp macro="" textlink="">
          <xdr:nvSpPr>
            <xdr:cNvPr id="0" name=""/>
            <xdr:cNvSpPr>
              <a:spLocks noTextEdit="1"/>
            </xdr:cNvSpPr>
          </xdr:nvSpPr>
          <xdr:spPr>
            <a:xfrm>
              <a:off x="234950" y="14541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6350</xdr:colOff>
      <xdr:row>1</xdr:row>
      <xdr:rowOff>31750</xdr:rowOff>
    </xdr:from>
    <xdr:to>
      <xdr:col>20</xdr:col>
      <xdr:colOff>234950</xdr:colOff>
      <xdr:row>9</xdr:row>
      <xdr:rowOff>171449</xdr:rowOff>
    </xdr:to>
    <mc:AlternateContent xmlns:mc="http://schemas.openxmlformats.org/markup-compatibility/2006" xmlns:a14="http://schemas.microsoft.com/office/drawing/2010/main">
      <mc:Choice Requires="a14">
        <xdr:graphicFrame macro="">
          <xdr:nvGraphicFramePr>
            <xdr:cNvPr id="8" name="Rating Category">
              <a:extLst>
                <a:ext uri="{FF2B5EF4-FFF2-40B4-BE49-F238E27FC236}">
                  <a16:creationId xmlns:a16="http://schemas.microsoft.com/office/drawing/2014/main" id="{9DB4EAC3-F3D6-E0CF-E909-38248D21998D}"/>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1918950" y="215901"/>
              <a:ext cx="1828800" cy="1282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107950</xdr:colOff>
      <xdr:row>0</xdr:row>
      <xdr:rowOff>152401</xdr:rowOff>
    </xdr:from>
    <xdr:to>
      <xdr:col>12</xdr:col>
      <xdr:colOff>209550</xdr:colOff>
      <xdr:row>8</xdr:row>
      <xdr:rowOff>6351</xdr:rowOff>
    </xdr:to>
    <mc:AlternateContent xmlns:mc="http://schemas.openxmlformats.org/markup-compatibility/2006" xmlns:a14="http://schemas.microsoft.com/office/drawing/2010/main">
      <mc:Choice Requires="a14">
        <xdr:graphicFrame macro="">
          <xdr:nvGraphicFramePr>
            <xdr:cNvPr id="9" name="Discount Category">
              <a:extLst>
                <a:ext uri="{FF2B5EF4-FFF2-40B4-BE49-F238E27FC236}">
                  <a16:creationId xmlns:a16="http://schemas.microsoft.com/office/drawing/2014/main" id="{6F5F5592-72D1-D1DE-A956-2F43F5910E02}"/>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9899650" y="152401"/>
              <a:ext cx="1828800" cy="1327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0</xdr:row>
      <xdr:rowOff>127000</xdr:rowOff>
    </xdr:from>
    <xdr:to>
      <xdr:col>10</xdr:col>
      <xdr:colOff>330200</xdr:colOff>
      <xdr:row>15</xdr:row>
      <xdr:rowOff>107950</xdr:rowOff>
    </xdr:to>
    <xdr:graphicFrame macro="">
      <xdr:nvGraphicFramePr>
        <xdr:cNvPr id="2" name="Chart 1">
          <a:extLst>
            <a:ext uri="{FF2B5EF4-FFF2-40B4-BE49-F238E27FC236}">
              <a16:creationId xmlns:a16="http://schemas.microsoft.com/office/drawing/2014/main" id="{149414DF-C306-9388-3CED-A516EAB56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17</xdr:row>
      <xdr:rowOff>127000</xdr:rowOff>
    </xdr:from>
    <xdr:to>
      <xdr:col>10</xdr:col>
      <xdr:colOff>330200</xdr:colOff>
      <xdr:row>32</xdr:row>
      <xdr:rowOff>107950</xdr:rowOff>
    </xdr:to>
    <xdr:graphicFrame macro="">
      <xdr:nvGraphicFramePr>
        <xdr:cNvPr id="3" name="Chart 2">
          <a:extLst>
            <a:ext uri="{FF2B5EF4-FFF2-40B4-BE49-F238E27FC236}">
              <a16:creationId xmlns:a16="http://schemas.microsoft.com/office/drawing/2014/main" id="{F3B7BFE9-CE13-9F01-4266-50E3CABEF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469900</xdr:colOff>
      <xdr:row>14</xdr:row>
      <xdr:rowOff>133351</xdr:rowOff>
    </xdr:from>
    <xdr:to>
      <xdr:col>2</xdr:col>
      <xdr:colOff>184150</xdr:colOff>
      <xdr:row>22</xdr:row>
      <xdr:rowOff>177800</xdr:rowOff>
    </xdr:to>
    <mc:AlternateContent xmlns:mc="http://schemas.openxmlformats.org/markup-compatibility/2006" xmlns:a14="http://schemas.microsoft.com/office/drawing/2010/main">
      <mc:Choice Requires="a14">
        <xdr:graphicFrame macro="">
          <xdr:nvGraphicFramePr>
            <xdr:cNvPr id="4" name="Rating Category 1">
              <a:extLst>
                <a:ext uri="{FF2B5EF4-FFF2-40B4-BE49-F238E27FC236}">
                  <a16:creationId xmlns:a16="http://schemas.microsoft.com/office/drawing/2014/main" id="{4DF3C2A6-2DA5-3B25-C67E-98D98D8CD2D3}"/>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469900" y="2711451"/>
              <a:ext cx="1828800" cy="1517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412750</xdr:colOff>
      <xdr:row>23</xdr:row>
      <xdr:rowOff>139701</xdr:rowOff>
    </xdr:from>
    <xdr:to>
      <xdr:col>2</xdr:col>
      <xdr:colOff>127000</xdr:colOff>
      <xdr:row>30</xdr:row>
      <xdr:rowOff>152401</xdr:rowOff>
    </xdr:to>
    <mc:AlternateContent xmlns:mc="http://schemas.openxmlformats.org/markup-compatibility/2006" xmlns:a14="http://schemas.microsoft.com/office/drawing/2010/main">
      <mc:Choice Requires="a14">
        <xdr:graphicFrame macro="">
          <xdr:nvGraphicFramePr>
            <xdr:cNvPr id="5" name="Discount Category 1">
              <a:extLst>
                <a:ext uri="{FF2B5EF4-FFF2-40B4-BE49-F238E27FC236}">
                  <a16:creationId xmlns:a16="http://schemas.microsoft.com/office/drawing/2014/main" id="{D0376426-A7DB-AC4C-425C-935B1E5A40C4}"/>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412750" y="4375151"/>
              <a:ext cx="1828800" cy="1301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152400</xdr:colOff>
      <xdr:row>1</xdr:row>
      <xdr:rowOff>139700</xdr:rowOff>
    </xdr:from>
    <xdr:to>
      <xdr:col>9</xdr:col>
      <xdr:colOff>457200</xdr:colOff>
      <xdr:row>16</xdr:row>
      <xdr:rowOff>120650</xdr:rowOff>
    </xdr:to>
    <xdr:graphicFrame macro="">
      <xdr:nvGraphicFramePr>
        <xdr:cNvPr id="2" name="Chart 1">
          <a:extLst>
            <a:ext uri="{FF2B5EF4-FFF2-40B4-BE49-F238E27FC236}">
              <a16:creationId xmlns:a16="http://schemas.microsoft.com/office/drawing/2014/main" id="{902BA1EE-C80B-3213-D5FE-E261BA57A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342900</xdr:colOff>
      <xdr:row>1</xdr:row>
      <xdr:rowOff>165100</xdr:rowOff>
    </xdr:from>
    <xdr:to>
      <xdr:col>10</xdr:col>
      <xdr:colOff>38100</xdr:colOff>
      <xdr:row>16</xdr:row>
      <xdr:rowOff>146050</xdr:rowOff>
    </xdr:to>
    <xdr:graphicFrame macro="">
      <xdr:nvGraphicFramePr>
        <xdr:cNvPr id="2" name="Chart 1">
          <a:extLst>
            <a:ext uri="{FF2B5EF4-FFF2-40B4-BE49-F238E27FC236}">
              <a16:creationId xmlns:a16="http://schemas.microsoft.com/office/drawing/2014/main" id="{2454B752-F4EA-4BBD-9860-2BCE82430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158750</xdr:colOff>
      <xdr:row>1</xdr:row>
      <xdr:rowOff>177800</xdr:rowOff>
    </xdr:from>
    <xdr:to>
      <xdr:col>10</xdr:col>
      <xdr:colOff>463550</xdr:colOff>
      <xdr:row>16</xdr:row>
      <xdr:rowOff>158750</xdr:rowOff>
    </xdr:to>
    <xdr:graphicFrame macro="">
      <xdr:nvGraphicFramePr>
        <xdr:cNvPr id="2" name="Chart 1">
          <a:extLst>
            <a:ext uri="{FF2B5EF4-FFF2-40B4-BE49-F238E27FC236}">
              <a16:creationId xmlns:a16="http://schemas.microsoft.com/office/drawing/2014/main" id="{470BF48A-B812-23DA-1210-1BDAEF0D6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785943750001" createdVersion="8" refreshedVersion="8" minRefreshableVersion="3" recordCount="112" xr:uid="{D58B13B0-D478-4B75-9734-A0CCC6815A6E}">
  <cacheSource type="worksheet">
    <worksheetSource ref="A1:I113" sheet="Excel_jumi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Anti-Skid Absorbent Insulation Coaster  For Home Office"/>
        <s v="220V 60W Electric Soldering Iron Kits With Tools, Tips, And Multimeter"/>
        <s v="137 Pieces Cake Decorating Tool Set Baking Supplies"/>
        <s v="Desk Foldable Fan Adjustable Fan Strong Wind 3 Gear Usb"/>
        <s v="Peacock  Throw Pillow Cushion Case For Home Car"/>
        <s v="13 In 1 Home Repair Tools Box Kit Set"/>
        <s v="Genebre 115 In 1 Screwdriver Repairing Tool Set For IPhone Cellphone Hand Tool"/>
        <s v="100 Pcs Crochet Hook Tool Set Knitting Hook Set With Box"/>
        <s v="LASA Aluminum Folding Truck Hand Cart - 68kg Max"/>
        <s v="LASA Digital Thermometer And Hydrometer"/>
        <s v="Multifunction Laser Level With Adjustment Tripod"/>
        <s v="DIY File Folder, Office Drawer File Holder, Pen Holder, Desktop Storage Rack"/>
        <s v="Classic Black Cat Cotton Hemp Pillow Case For Home Car"/>
        <s v="Bedroom Simple Floor Hanging Clothes Rack Single Pole Hat Rack - White"/>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Konka Healty Electric Kettle, 24-hour Heat Preservation,1.5L,800W, White"/>
        <s v="Portable Home Small Air Humidifier 3-Speed Fan - Green"/>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Artificial Potted Flowers Room Decorative Flowers (2 Pieces)"/>
        <s v="120W Cordless Vacuum Cleaners Handheld Electric Vacuum Cleaner"/>
        <s v="Intelligent  LED Body Sensor Wireless Lighting Night Light USB"/>
        <s v="VIC Wireless Vacuum Cleaner Dual Use For Home And Car 120W High Power Powerful"/>
        <s v="7-piece Set Of Storage Bags, Travel Storage Bags, Shoe Bag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5-PCS Stainless Steel Cooking Pot Set With Steamed Slice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LASA FOLDING TABLE SERVING STAND"/>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40cm Gold DIY Acrylic Wall Sticker Clock"/>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1">
      <sharedItems containsSemiMixedTypes="0" containsString="0" containsNumber="1" containsInteger="1" minValue="0" maxValue="69"/>
    </cacheField>
    <cacheField name="Rating" numFmtId="0">
      <sharedItems containsMixedTypes="1" containsNumber="1" minValue="2" maxValue="5"/>
    </cacheField>
    <cacheField name="Discount Amount (Ksh)" numFmtId="1">
      <sharedItems containsSemiMixedTypes="0" containsString="0" containsNumber="1" containsInteger="1" minValue="24" maxValue="2585"/>
    </cacheField>
    <cacheField name="Rating Category" numFmtId="0">
      <sharedItems count="4">
        <s v="Excellent"/>
        <s v="Average"/>
        <s v="Not Rated"/>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435234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n v="2"/>
    <n v="4.5"/>
    <n v="575"/>
    <x v="0"/>
    <x v="0"/>
  </r>
  <r>
    <x v="1"/>
    <n v="527"/>
    <n v="999"/>
    <n v="0.47"/>
    <n v="14"/>
    <n v="4.0999999999999996"/>
    <n v="472"/>
    <x v="1"/>
    <x v="1"/>
  </r>
  <r>
    <x v="2"/>
    <n v="2199"/>
    <n v="2923"/>
    <n v="0.25"/>
    <n v="24"/>
    <n v="4.5999999999999996"/>
    <n v="724"/>
    <x v="0"/>
    <x v="0"/>
  </r>
  <r>
    <x v="3"/>
    <n v="1580"/>
    <n v="2499"/>
    <n v="0.37"/>
    <n v="7"/>
    <n v="4.7"/>
    <n v="919"/>
    <x v="0"/>
    <x v="0"/>
  </r>
  <r>
    <x v="4"/>
    <n v="332"/>
    <n v="684"/>
    <n v="0.51"/>
    <n v="2"/>
    <n v="5"/>
    <n v="352"/>
    <x v="0"/>
    <x v="1"/>
  </r>
  <r>
    <x v="5"/>
    <n v="2999"/>
    <n v="3290"/>
    <n v="0.09"/>
    <n v="15"/>
    <n v="4"/>
    <n v="291"/>
    <x v="1"/>
    <x v="2"/>
  </r>
  <r>
    <x v="6"/>
    <n v="2319"/>
    <n v="3032"/>
    <n v="0.24"/>
    <n v="55"/>
    <n v="4.5999999999999996"/>
    <n v="713"/>
    <x v="0"/>
    <x v="0"/>
  </r>
  <r>
    <x v="7"/>
    <n v="988"/>
    <n v="1580"/>
    <n v="0.37"/>
    <n v="2"/>
    <n v="4"/>
    <n v="592"/>
    <x v="1"/>
    <x v="0"/>
  </r>
  <r>
    <x v="8"/>
    <n v="195"/>
    <n v="360"/>
    <n v="0.46"/>
    <n v="2"/>
    <n v="5"/>
    <n v="165"/>
    <x v="0"/>
    <x v="1"/>
  </r>
  <r>
    <x v="9"/>
    <n v="1600"/>
    <n v="2929"/>
    <n v="0.45"/>
    <n v="5"/>
    <n v="3.8"/>
    <n v="1329"/>
    <x v="1"/>
    <x v="1"/>
  </r>
  <r>
    <x v="10"/>
    <n v="799"/>
    <n v="999"/>
    <n v="0.2"/>
    <n v="12"/>
    <n v="4.0999999999999996"/>
    <n v="200"/>
    <x v="1"/>
    <x v="0"/>
  </r>
  <r>
    <x v="11"/>
    <n v="990"/>
    <n v="1500"/>
    <n v="0.34"/>
    <n v="39"/>
    <n v="4.7"/>
    <n v="510"/>
    <x v="0"/>
    <x v="0"/>
  </r>
  <r>
    <x v="12"/>
    <n v="2025"/>
    <n v="3971"/>
    <n v="0.49"/>
    <n v="3"/>
    <n v="5"/>
    <n v="1946"/>
    <x v="0"/>
    <x v="1"/>
  </r>
  <r>
    <x v="13"/>
    <n v="501"/>
    <n v="860"/>
    <n v="0.42"/>
    <n v="6"/>
    <n v="4.5"/>
    <n v="359"/>
    <x v="0"/>
    <x v="1"/>
  </r>
  <r>
    <x v="14"/>
    <n v="1680"/>
    <n v="2499"/>
    <n v="0.33"/>
    <n v="9"/>
    <n v="4.2"/>
    <n v="819"/>
    <x v="1"/>
    <x v="0"/>
  </r>
  <r>
    <x v="15"/>
    <n v="1620"/>
    <n v="2690"/>
    <n v="0.4"/>
    <n v="1"/>
    <n v="5"/>
    <n v="1070"/>
    <x v="0"/>
    <x v="1"/>
  </r>
  <r>
    <x v="16"/>
    <n v="171"/>
    <n v="360"/>
    <n v="0.53"/>
    <n v="2"/>
    <n v="5"/>
    <n v="189"/>
    <x v="0"/>
    <x v="1"/>
  </r>
  <r>
    <x v="17"/>
    <n v="979"/>
    <n v="1920"/>
    <n v="0.49"/>
    <n v="1"/>
    <n v="5"/>
    <n v="941"/>
    <x v="0"/>
    <x v="1"/>
  </r>
  <r>
    <x v="18"/>
    <n v="2999"/>
    <n v="3699"/>
    <n v="0.19"/>
    <n v="5"/>
    <n v="4.5999999999999996"/>
    <n v="700"/>
    <x v="0"/>
    <x v="2"/>
  </r>
  <r>
    <x v="19"/>
    <n v="998"/>
    <n v="1966"/>
    <n v="0.49"/>
    <n v="44"/>
    <n v="4.5999999999999996"/>
    <n v="968"/>
    <x v="0"/>
    <x v="1"/>
  </r>
  <r>
    <x v="20"/>
    <n v="38"/>
    <n v="80"/>
    <n v="0.53"/>
    <n v="13"/>
    <n v="3.3"/>
    <n v="42"/>
    <x v="1"/>
    <x v="1"/>
  </r>
  <r>
    <x v="21"/>
    <n v="1860"/>
    <n v="3220"/>
    <n v="0.42"/>
    <n v="0"/>
    <s v="Not rated"/>
    <n v="1360"/>
    <x v="2"/>
    <x v="1"/>
  </r>
  <r>
    <x v="22"/>
    <n v="880"/>
    <n v="1350"/>
    <n v="0.35"/>
    <n v="6"/>
    <n v="4"/>
    <n v="470"/>
    <x v="1"/>
    <x v="0"/>
  </r>
  <r>
    <x v="23"/>
    <n v="1650"/>
    <n v="2150"/>
    <n v="0.23"/>
    <n v="14"/>
    <n v="4.4000000000000004"/>
    <n v="500"/>
    <x v="1"/>
    <x v="0"/>
  </r>
  <r>
    <x v="24"/>
    <n v="2048"/>
    <n v="4500"/>
    <n v="0.54"/>
    <n v="7"/>
    <n v="4.3"/>
    <n v="2452"/>
    <x v="1"/>
    <x v="1"/>
  </r>
  <r>
    <x v="25"/>
    <n v="420"/>
    <n v="647"/>
    <n v="0.35"/>
    <n v="49"/>
    <n v="4.5999999999999996"/>
    <n v="227"/>
    <x v="0"/>
    <x v="0"/>
  </r>
  <r>
    <x v="26"/>
    <n v="2880"/>
    <n v="3520"/>
    <n v="0.18"/>
    <n v="12"/>
    <n v="3.8"/>
    <n v="640"/>
    <x v="1"/>
    <x v="2"/>
  </r>
  <r>
    <x v="27"/>
    <n v="1350"/>
    <n v="1990"/>
    <n v="0.32"/>
    <n v="13"/>
    <n v="3.8"/>
    <n v="640"/>
    <x v="1"/>
    <x v="0"/>
  </r>
  <r>
    <x v="28"/>
    <n v="1758"/>
    <n v="2499"/>
    <n v="0.3"/>
    <n v="20"/>
    <n v="4.0999999999999996"/>
    <n v="741"/>
    <x v="1"/>
    <x v="0"/>
  </r>
  <r>
    <x v="29"/>
    <n v="2200"/>
    <n v="4080"/>
    <n v="0.46"/>
    <n v="0"/>
    <s v="Not rated"/>
    <n v="1880"/>
    <x v="2"/>
    <x v="1"/>
  </r>
  <r>
    <x v="30"/>
    <n v="185"/>
    <n v="382"/>
    <n v="0.52"/>
    <n v="9"/>
    <n v="4.3"/>
    <n v="197"/>
    <x v="1"/>
    <x v="1"/>
  </r>
  <r>
    <x v="31"/>
    <n v="980"/>
    <n v="1490"/>
    <n v="0.34"/>
    <n v="12"/>
    <n v="4.7"/>
    <n v="510"/>
    <x v="0"/>
    <x v="0"/>
  </r>
  <r>
    <x v="32"/>
    <n v="1820"/>
    <n v="3490"/>
    <n v="0.48"/>
    <n v="9"/>
    <n v="4.3"/>
    <n v="1670"/>
    <x v="1"/>
    <x v="1"/>
  </r>
  <r>
    <x v="33"/>
    <n v="1940"/>
    <n v="2650"/>
    <n v="0.27"/>
    <n v="20"/>
    <n v="4.7"/>
    <n v="710"/>
    <x v="0"/>
    <x v="0"/>
  </r>
  <r>
    <x v="34"/>
    <n v="1980"/>
    <n v="2699"/>
    <n v="0.27"/>
    <n v="32"/>
    <n v="4.5"/>
    <n v="719"/>
    <x v="0"/>
    <x v="0"/>
  </r>
  <r>
    <x v="35"/>
    <n v="3640"/>
    <n v="4588"/>
    <n v="0.21"/>
    <n v="1"/>
    <n v="5"/>
    <n v="948"/>
    <x v="0"/>
    <x v="0"/>
  </r>
  <r>
    <x v="36"/>
    <n v="1740"/>
    <n v="2356"/>
    <n v="0.26"/>
    <n v="5"/>
    <n v="4.8"/>
    <n v="616"/>
    <x v="0"/>
    <x v="0"/>
  </r>
  <r>
    <x v="37"/>
    <n v="389"/>
    <n v="656"/>
    <n v="0.41"/>
    <n v="36"/>
    <n v="4.3"/>
    <n v="267"/>
    <x v="1"/>
    <x v="1"/>
  </r>
  <r>
    <x v="38"/>
    <n v="1800"/>
    <n v="2700"/>
    <n v="0.38"/>
    <n v="2"/>
    <n v="4.5"/>
    <n v="900"/>
    <x v="0"/>
    <x v="0"/>
  </r>
  <r>
    <x v="39"/>
    <n v="2750"/>
    <n v="4471"/>
    <n v="0.38"/>
    <n v="0"/>
    <s v="Not rated"/>
    <n v="1721"/>
    <x v="2"/>
    <x v="0"/>
  </r>
  <r>
    <x v="40"/>
    <n v="475"/>
    <n v="931"/>
    <n v="0.49"/>
    <n v="0"/>
    <s v="Not rated"/>
    <n v="456"/>
    <x v="2"/>
    <x v="1"/>
  </r>
  <r>
    <x v="41"/>
    <n v="238"/>
    <n v="476"/>
    <n v="0.5"/>
    <n v="0"/>
    <s v="Not rated"/>
    <n v="238"/>
    <x v="2"/>
    <x v="1"/>
  </r>
  <r>
    <x v="42"/>
    <n v="610"/>
    <n v="1060"/>
    <n v="0.42"/>
    <n v="0"/>
    <s v="Not rated"/>
    <n v="450"/>
    <x v="2"/>
    <x v="1"/>
  </r>
  <r>
    <x v="43"/>
    <n v="2132"/>
    <n v="2169"/>
    <n v="0.02"/>
    <n v="0"/>
    <s v="Not rated"/>
    <n v="37"/>
    <x v="2"/>
    <x v="2"/>
  </r>
  <r>
    <x v="44"/>
    <n v="999"/>
    <n v="2000"/>
    <n v="0.5"/>
    <n v="0"/>
    <s v="Not rated"/>
    <n v="1001"/>
    <x v="2"/>
    <x v="1"/>
  </r>
  <r>
    <x v="45"/>
    <n v="1190"/>
    <n v="1785"/>
    <n v="0.33"/>
    <n v="0"/>
    <s v="Not rated"/>
    <n v="595"/>
    <x v="2"/>
    <x v="0"/>
  </r>
  <r>
    <x v="46"/>
    <n v="671"/>
    <n v="1316"/>
    <n v="0.49"/>
    <n v="0"/>
    <s v="Not rated"/>
    <n v="645"/>
    <x v="2"/>
    <x v="1"/>
  </r>
  <r>
    <x v="47"/>
    <n v="1200"/>
    <n v="1950"/>
    <n v="0.38"/>
    <n v="0"/>
    <s v="Not rated"/>
    <n v="750"/>
    <x v="2"/>
    <x v="0"/>
  </r>
  <r>
    <x v="48"/>
    <n v="199"/>
    <n v="504"/>
    <n v="0.61"/>
    <n v="0"/>
    <s v="Not rated"/>
    <n v="305"/>
    <x v="2"/>
    <x v="1"/>
  </r>
  <r>
    <x v="49"/>
    <n v="299"/>
    <n v="600"/>
    <n v="0.5"/>
    <n v="0"/>
    <s v="Not rated"/>
    <n v="301"/>
    <x v="2"/>
    <x v="1"/>
  </r>
  <r>
    <x v="50"/>
    <n v="1660"/>
    <n v="1699"/>
    <n v="0.02"/>
    <n v="0"/>
    <s v="Not rated"/>
    <n v="39"/>
    <x v="2"/>
    <x v="2"/>
  </r>
  <r>
    <x v="51"/>
    <n v="299"/>
    <n v="384"/>
    <n v="0.22"/>
    <n v="0"/>
    <s v="Not rated"/>
    <n v="85"/>
    <x v="2"/>
    <x v="0"/>
  </r>
  <r>
    <x v="52"/>
    <n v="1459"/>
    <n v="1499"/>
    <n v="0.03"/>
    <n v="0"/>
    <s v="Not rated"/>
    <n v="40"/>
    <x v="2"/>
    <x v="2"/>
  </r>
  <r>
    <x v="53"/>
    <n v="799"/>
    <n v="1343"/>
    <n v="0.41"/>
    <n v="0"/>
    <s v="Not rated"/>
    <n v="544"/>
    <x v="2"/>
    <x v="1"/>
  </r>
  <r>
    <x v="54"/>
    <n v="499"/>
    <n v="900"/>
    <n v="0.45"/>
    <n v="0"/>
    <s v="Not rated"/>
    <n v="401"/>
    <x v="2"/>
    <x v="1"/>
  </r>
  <r>
    <x v="55"/>
    <n v="699"/>
    <n v="1343"/>
    <n v="0.48"/>
    <n v="0"/>
    <s v="Not rated"/>
    <n v="644"/>
    <x v="2"/>
    <x v="1"/>
  </r>
  <r>
    <x v="56"/>
    <n v="799"/>
    <n v="1567"/>
    <n v="0.49"/>
    <n v="0"/>
    <s v="Not rated"/>
    <n v="768"/>
    <x v="2"/>
    <x v="1"/>
  </r>
  <r>
    <x v="57"/>
    <n v="2799"/>
    <n v="3810"/>
    <n v="0.27"/>
    <n v="0"/>
    <s v="Not rated"/>
    <n v="1011"/>
    <x v="2"/>
    <x v="0"/>
  </r>
  <r>
    <x v="54"/>
    <n v="399"/>
    <n v="896"/>
    <n v="0.55000000000000004"/>
    <n v="0"/>
    <s v="Not rated"/>
    <n v="497"/>
    <x v="2"/>
    <x v="1"/>
  </r>
  <r>
    <x v="58"/>
    <n v="2170"/>
    <n v="2500"/>
    <n v="0.13"/>
    <n v="6"/>
    <n v="2.5"/>
    <n v="330"/>
    <x v="3"/>
    <x v="2"/>
  </r>
  <r>
    <x v="59"/>
    <n v="458"/>
    <n v="986"/>
    <n v="0.54"/>
    <n v="10"/>
    <n v="3"/>
    <n v="528"/>
    <x v="1"/>
    <x v="1"/>
  </r>
  <r>
    <x v="60"/>
    <n v="990"/>
    <n v="1814"/>
    <n v="0.45"/>
    <n v="6"/>
    <n v="2.2000000000000002"/>
    <n v="824"/>
    <x v="3"/>
    <x v="1"/>
  </r>
  <r>
    <x v="61"/>
    <n v="445"/>
    <n v="873"/>
    <n v="0.49"/>
    <n v="69"/>
    <n v="2.8"/>
    <n v="428"/>
    <x v="3"/>
    <x v="1"/>
  </r>
  <r>
    <x v="62"/>
    <n v="325"/>
    <n v="680"/>
    <n v="0.52"/>
    <n v="15"/>
    <n v="2.7"/>
    <n v="355"/>
    <x v="3"/>
    <x v="1"/>
  </r>
  <r>
    <x v="63"/>
    <n v="1220"/>
    <n v="1555"/>
    <n v="0.22"/>
    <n v="16"/>
    <n v="2.9"/>
    <n v="335"/>
    <x v="3"/>
    <x v="0"/>
  </r>
  <r>
    <x v="64"/>
    <n v="968"/>
    <n v="1814"/>
    <n v="0.47"/>
    <n v="6"/>
    <n v="2.2000000000000002"/>
    <n v="846"/>
    <x v="3"/>
    <x v="1"/>
  </r>
  <r>
    <x v="65"/>
    <n v="1000"/>
    <n v="2000"/>
    <n v="0.5"/>
    <n v="7"/>
    <n v="2.2999999999999998"/>
    <n v="1000"/>
    <x v="3"/>
    <x v="1"/>
  </r>
  <r>
    <x v="66"/>
    <n v="3750"/>
    <n v="6143"/>
    <n v="0.39"/>
    <n v="5"/>
    <n v="3"/>
    <n v="2393"/>
    <x v="1"/>
    <x v="0"/>
  </r>
  <r>
    <x v="67"/>
    <n v="382"/>
    <n v="700"/>
    <n v="0.45"/>
    <n v="17"/>
    <n v="2.6"/>
    <n v="318"/>
    <x v="3"/>
    <x v="1"/>
  </r>
  <r>
    <x v="68"/>
    <n v="2300"/>
    <n v="3240"/>
    <n v="0.28999999999999998"/>
    <n v="5"/>
    <n v="3"/>
    <n v="940"/>
    <x v="1"/>
    <x v="0"/>
  </r>
  <r>
    <x v="69"/>
    <n v="345"/>
    <n v="602"/>
    <n v="0.43"/>
    <n v="6"/>
    <n v="2.2999999999999998"/>
    <n v="257"/>
    <x v="3"/>
    <x v="1"/>
  </r>
  <r>
    <x v="70"/>
    <n v="509"/>
    <n v="899"/>
    <n v="0.43"/>
    <n v="5"/>
    <n v="3"/>
    <n v="390"/>
    <x v="1"/>
    <x v="1"/>
  </r>
  <r>
    <x v="71"/>
    <n v="2115"/>
    <n v="4700"/>
    <n v="0.55000000000000004"/>
    <n v="13"/>
    <n v="2.1"/>
    <n v="2585"/>
    <x v="3"/>
    <x v="1"/>
  </r>
  <r>
    <x v="72"/>
    <n v="1570"/>
    <n v="2988"/>
    <n v="0.47"/>
    <n v="7"/>
    <n v="2.1"/>
    <n v="1418"/>
    <x v="3"/>
    <x v="1"/>
  </r>
  <r>
    <x v="73"/>
    <n v="790"/>
    <n v="1485"/>
    <n v="0.47"/>
    <n v="0"/>
    <s v="Not rated"/>
    <n v="695"/>
    <x v="2"/>
    <x v="1"/>
  </r>
  <r>
    <x v="74"/>
    <n v="690"/>
    <n v="1200"/>
    <n v="0.43"/>
    <n v="0"/>
    <s v="Not rated"/>
    <n v="510"/>
    <x v="2"/>
    <x v="1"/>
  </r>
  <r>
    <x v="75"/>
    <n v="1732"/>
    <n v="1799"/>
    <n v="0.04"/>
    <n v="0"/>
    <s v="Not rated"/>
    <n v="67"/>
    <x v="2"/>
    <x v="2"/>
  </r>
  <r>
    <x v="76"/>
    <n v="230"/>
    <n v="450"/>
    <n v="0.49"/>
    <n v="0"/>
    <s v="Not rated"/>
    <n v="220"/>
    <x v="2"/>
    <x v="1"/>
  </r>
  <r>
    <x v="77"/>
    <n v="1189"/>
    <n v="2199"/>
    <n v="0.46"/>
    <n v="1"/>
    <n v="3"/>
    <n v="1010"/>
    <x v="1"/>
    <x v="1"/>
  </r>
  <r>
    <x v="78"/>
    <n v="1274"/>
    <n v="2800"/>
    <n v="0.55000000000000004"/>
    <n v="5"/>
    <n v="4.8"/>
    <n v="1526"/>
    <x v="0"/>
    <x v="1"/>
  </r>
  <r>
    <x v="79"/>
    <n v="1460"/>
    <n v="2290"/>
    <n v="0.36"/>
    <n v="0"/>
    <s v="Not rated"/>
    <n v="830"/>
    <x v="2"/>
    <x v="0"/>
  </r>
  <r>
    <x v="80"/>
    <n v="1666"/>
    <n v="1699"/>
    <n v="0.02"/>
    <n v="0"/>
    <s v="Not rated"/>
    <n v="33"/>
    <x v="2"/>
    <x v="2"/>
  </r>
  <r>
    <x v="81"/>
    <n v="330"/>
    <n v="647"/>
    <n v="0.49"/>
    <n v="1"/>
    <n v="4"/>
    <n v="317"/>
    <x v="1"/>
    <x v="1"/>
  </r>
  <r>
    <x v="48"/>
    <n v="176"/>
    <n v="345"/>
    <n v="0.49"/>
    <n v="0"/>
    <s v="Not rated"/>
    <n v="169"/>
    <x v="2"/>
    <x v="1"/>
  </r>
  <r>
    <x v="82"/>
    <n v="1466"/>
    <n v="1699"/>
    <n v="0.14000000000000001"/>
    <n v="0"/>
    <s v="Not rated"/>
    <n v="233"/>
    <x v="2"/>
    <x v="2"/>
  </r>
  <r>
    <x v="83"/>
    <n v="274"/>
    <n v="537"/>
    <n v="0.49"/>
    <n v="0"/>
    <s v="Not rated"/>
    <n v="263"/>
    <x v="2"/>
    <x v="1"/>
  </r>
  <r>
    <x v="84"/>
    <n v="799"/>
    <n v="900"/>
    <n v="0.11"/>
    <n v="0"/>
    <s v="Not rated"/>
    <n v="101"/>
    <x v="2"/>
    <x v="2"/>
  </r>
  <r>
    <x v="56"/>
    <n v="657"/>
    <n v="1288"/>
    <n v="0.49"/>
    <n v="0"/>
    <s v="Not rated"/>
    <n v="631"/>
    <x v="2"/>
    <x v="1"/>
  </r>
  <r>
    <x v="85"/>
    <n v="1468"/>
    <n v="1699"/>
    <n v="0.14000000000000001"/>
    <n v="0"/>
    <s v="Not rated"/>
    <n v="231"/>
    <x v="2"/>
    <x v="2"/>
  </r>
  <r>
    <x v="86"/>
    <n v="630"/>
    <n v="1100"/>
    <n v="0.43"/>
    <n v="0"/>
    <s v="Not rated"/>
    <n v="470"/>
    <x v="2"/>
    <x v="1"/>
  </r>
  <r>
    <x v="87"/>
    <n v="850"/>
    <n v="1700"/>
    <n v="0.5"/>
    <n v="0"/>
    <s v="Not rated"/>
    <n v="850"/>
    <x v="2"/>
    <x v="1"/>
  </r>
  <r>
    <x v="88"/>
    <n v="1300"/>
    <n v="2500"/>
    <n v="0.48"/>
    <n v="0"/>
    <s v="Not rated"/>
    <n v="1200"/>
    <x v="2"/>
    <x v="1"/>
  </r>
  <r>
    <x v="89"/>
    <n v="105"/>
    <n v="200"/>
    <n v="0.48"/>
    <n v="0"/>
    <s v="Not rated"/>
    <n v="95"/>
    <x v="2"/>
    <x v="1"/>
  </r>
  <r>
    <x v="90"/>
    <n v="899"/>
    <n v="1699"/>
    <n v="0.47"/>
    <n v="0"/>
    <s v="Not rated"/>
    <n v="800"/>
    <x v="2"/>
    <x v="1"/>
  </r>
  <r>
    <x v="91"/>
    <n v="1200"/>
    <n v="2400"/>
    <n v="0.5"/>
    <n v="0"/>
    <s v="Not rated"/>
    <n v="1200"/>
    <x v="2"/>
    <x v="1"/>
  </r>
  <r>
    <x v="92"/>
    <n v="1526"/>
    <n v="1660"/>
    <n v="0.08"/>
    <n v="0"/>
    <s v="Not rated"/>
    <n v="134"/>
    <x v="2"/>
    <x v="2"/>
  </r>
  <r>
    <x v="93"/>
    <n v="1462"/>
    <n v="1499"/>
    <n v="0.02"/>
    <n v="0"/>
    <s v="Not rated"/>
    <n v="37"/>
    <x v="2"/>
    <x v="2"/>
  </r>
  <r>
    <x v="94"/>
    <n v="248"/>
    <n v="486"/>
    <n v="0.49"/>
    <n v="0"/>
    <s v="Not rated"/>
    <n v="238"/>
    <x v="2"/>
    <x v="1"/>
  </r>
  <r>
    <x v="95"/>
    <n v="3546"/>
    <n v="3699"/>
    <n v="0.04"/>
    <n v="0"/>
    <s v="Not rated"/>
    <n v="153"/>
    <x v="2"/>
    <x v="2"/>
  </r>
  <r>
    <x v="96"/>
    <n v="525"/>
    <n v="1029"/>
    <n v="0.49"/>
    <n v="0"/>
    <s v="Not rated"/>
    <n v="504"/>
    <x v="2"/>
    <x v="1"/>
  </r>
  <r>
    <x v="97"/>
    <n v="1080"/>
    <n v="1874"/>
    <n v="0.42"/>
    <n v="0"/>
    <s v="Not rated"/>
    <n v="794"/>
    <x v="2"/>
    <x v="1"/>
  </r>
  <r>
    <x v="98"/>
    <n v="552"/>
    <n v="1035"/>
    <n v="0.47"/>
    <n v="12"/>
    <n v="4.8"/>
    <n v="483"/>
    <x v="0"/>
    <x v="1"/>
  </r>
  <r>
    <x v="99"/>
    <n v="1420"/>
    <n v="2420"/>
    <n v="0.41"/>
    <n v="0"/>
    <s v="Not rated"/>
    <n v="1000"/>
    <x v="2"/>
    <x v="1"/>
  </r>
  <r>
    <x v="100"/>
    <n v="1875"/>
    <n v="1899"/>
    <n v="0.01"/>
    <n v="0"/>
    <s v="Not rated"/>
    <n v="24"/>
    <x v="2"/>
    <x v="2"/>
  </r>
  <r>
    <x v="101"/>
    <n v="198"/>
    <n v="260"/>
    <n v="0.24"/>
    <n v="0"/>
    <s v="Not rated"/>
    <n v="62"/>
    <x v="2"/>
    <x v="0"/>
  </r>
  <r>
    <x v="102"/>
    <n v="1150"/>
    <n v="1737"/>
    <n v="0.34"/>
    <n v="0"/>
    <s v="Not rated"/>
    <n v="587"/>
    <x v="2"/>
    <x v="0"/>
  </r>
  <r>
    <x v="103"/>
    <n v="1190"/>
    <n v="1810"/>
    <n v="0.34"/>
    <n v="0"/>
    <s v="Not rated"/>
    <n v="620"/>
    <x v="2"/>
    <x v="0"/>
  </r>
  <r>
    <x v="104"/>
    <n v="1658"/>
    <n v="1699"/>
    <n v="0.02"/>
    <n v="0"/>
    <s v="Not rated"/>
    <n v="41"/>
    <x v="2"/>
    <x v="2"/>
  </r>
  <r>
    <x v="105"/>
    <n v="1768"/>
    <n v="1799"/>
    <n v="0.02"/>
    <n v="0"/>
    <s v="Not rated"/>
    <n v="31"/>
    <x v="2"/>
    <x v="2"/>
  </r>
  <r>
    <x v="106"/>
    <n v="199"/>
    <n v="553"/>
    <n v="0.64"/>
    <n v="0"/>
    <s v="Not rated"/>
    <n v="354"/>
    <x v="2"/>
    <x v="1"/>
  </r>
  <r>
    <x v="107"/>
    <n v="450"/>
    <n v="900"/>
    <n v="0.5"/>
    <n v="1"/>
    <n v="2"/>
    <n v="450"/>
    <x v="3"/>
    <x v="1"/>
  </r>
  <r>
    <x v="108"/>
    <n v="169"/>
    <n v="320"/>
    <n v="0.47"/>
    <n v="0"/>
    <s v="Not rated"/>
    <n v="15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D2F67E-BB3B-4C1E-97F3-A2CAD44EE433}"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0" firstHeaderRow="1" firstDataRow="1" firstDataCol="1"/>
  <pivotFields count="9">
    <pivotField dataField="1" showAll="0"/>
    <pivotField numFmtId="1" showAll="0"/>
    <pivotField numFmtId="1" showAll="0"/>
    <pivotField numFmtId="9" showAll="0"/>
    <pivotField numFmtId="1" showAll="0"/>
    <pivotField showAll="0"/>
    <pivotField numFmtId="1" showAll="0"/>
    <pivotField showAll="0">
      <items count="5">
        <item h="1" x="1"/>
        <item x="0"/>
        <item h="1" x="2"/>
        <item h="1" x="3"/>
        <item t="default"/>
      </items>
    </pivotField>
    <pivotField axis="axisRow"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8CA88C-7D7F-450E-9C0A-21754D194CFE}"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2" firstHeaderRow="0" firstDataRow="1" firstDataCol="1"/>
  <pivotFields count="9">
    <pivotField showAll="0"/>
    <pivotField numFmtId="1" showAll="0"/>
    <pivotField numFmtId="1" showAll="0"/>
    <pivotField dataField="1" numFmtId="9" showAll="0"/>
    <pivotField numFmtId="1" showAll="0"/>
    <pivotField dataField="1" showAll="0"/>
    <pivotField dataField="1" numFmtId="1" showAll="0"/>
    <pivotField showAll="0">
      <items count="5">
        <item h="1" x="1"/>
        <item x="0"/>
        <item h="1" x="2"/>
        <item h="1" x="3"/>
        <item t="default"/>
      </items>
    </pivotField>
    <pivotField axis="axisRow" showAll="0">
      <items count="4">
        <item x="1"/>
        <item x="2"/>
        <item x="0"/>
        <item t="default"/>
      </items>
    </pivotField>
  </pivotFields>
  <rowFields count="1">
    <field x="8"/>
  </rowFields>
  <rowItems count="4">
    <i>
      <x/>
    </i>
    <i>
      <x v="1"/>
    </i>
    <i>
      <x v="2"/>
    </i>
    <i t="grand">
      <x/>
    </i>
  </rowItems>
  <colFields count="1">
    <field x="-2"/>
  </colFields>
  <colItems count="3">
    <i>
      <x/>
    </i>
    <i i="1">
      <x v="1"/>
    </i>
    <i i="2">
      <x v="2"/>
    </i>
  </colItems>
  <dataFields count="3">
    <dataField name="Average of Rating" fld="5" subtotal="average" baseField="8" baseItem="0" numFmtId="164"/>
    <dataField name="Average of Discount" fld="3" subtotal="average" baseField="8" baseItem="0" numFmtId="9"/>
    <dataField name="Average of Discount Amount (Ksh)" fld="6"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75635A-1793-47D7-B828-232C698FB220}"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pivotField>
    <pivotField dataField="1" numFmtId="1" showAll="0"/>
    <pivotField numFmtId="1" showAll="0"/>
    <pivotField numFmtId="9" showAll="0"/>
    <pivotField numFmtId="1" showAll="0"/>
    <pivotField showAll="0"/>
    <pivotField numFmtId="1" showAll="0"/>
    <pivotField showAll="0">
      <items count="5">
        <item h="1" x="1"/>
        <item x="0"/>
        <item h="1" x="2"/>
        <item h="1" x="3"/>
        <item t="default"/>
      </items>
    </pivotField>
    <pivotField showAll="0">
      <items count="4">
        <item x="1"/>
        <item x="2"/>
        <item x="0"/>
        <item t="default"/>
      </items>
    </pivotField>
  </pivotFields>
  <rowFields count="1">
    <field x="0"/>
  </rowFields>
  <rowItems count="2">
    <i>
      <x v="20"/>
    </i>
    <i t="grand">
      <x/>
    </i>
  </rowItems>
  <colItems count="1">
    <i/>
  </colItems>
  <dataFields count="1">
    <dataField name="Max of Current price" fld="1" subtotal="max" baseField="0" baseItem="0" numFmtId="1"/>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255EF-9AED-4A23-8295-5A7FE89229A0}"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9"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pivotField>
    <pivotField dataField="1" numFmtId="1" showAll="0"/>
    <pivotField numFmtId="1" showAll="0"/>
    <pivotField numFmtId="9" showAll="0"/>
    <pivotField numFmtId="1" showAll="0"/>
    <pivotField showAll="0"/>
    <pivotField numFmtId="1" showAll="0"/>
    <pivotField showAll="0">
      <items count="5">
        <item h="1" x="1"/>
        <item x="0"/>
        <item h="1" x="2"/>
        <item h="1" x="3"/>
        <item t="default"/>
      </items>
    </pivotField>
    <pivotField showAll="0">
      <items count="4">
        <item x="1"/>
        <item x="2"/>
        <item x="0"/>
        <item t="default"/>
      </items>
    </pivotField>
  </pivotFields>
  <rowFields count="1">
    <field x="0"/>
  </rowFields>
  <rowItems count="2">
    <i>
      <x v="16"/>
    </i>
    <i t="grand">
      <x/>
    </i>
  </rowItems>
  <colItems count="1">
    <i/>
  </colItems>
  <dataFields count="1">
    <dataField name="Max of Current price" fld="1" subtotal="max" baseField="0" baseItem="0" numFmtId="1"/>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DA5ACA-C39A-46FD-BD06-B724B87A9AF0}"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showAll="0"/>
    <pivotField dataField="1" numFmtId="1" showAll="0"/>
    <pivotField dataField="1" numFmtId="1" showAll="0"/>
    <pivotField dataField="1" numFmtId="9" showAll="0"/>
    <pivotField showAll="0"/>
    <pivotField dataField="1" showAll="0"/>
    <pivotField numFmtId="1" showAll="0"/>
    <pivotField showAll="0">
      <items count="5">
        <item h="1" x="1"/>
        <item x="0"/>
        <item h="1" x="2"/>
        <item h="1" x="3"/>
        <item t="default"/>
      </items>
    </pivotField>
    <pivotField showAll="0">
      <items count="4">
        <item x="1"/>
        <item x="2"/>
        <item x="0"/>
        <item t="default"/>
      </items>
    </pivotField>
  </pivotFields>
  <rowItems count="1">
    <i/>
  </rowItems>
  <colFields count="1">
    <field x="-2"/>
  </colFields>
  <colItems count="4">
    <i>
      <x/>
    </i>
    <i i="1">
      <x v="1"/>
    </i>
    <i i="2">
      <x v="2"/>
    </i>
    <i i="3">
      <x v="3"/>
    </i>
  </colItems>
  <dataFields count="4">
    <dataField name="Average of Current price" fld="1" subtotal="average" baseField="0" baseItem="1" numFmtId="1"/>
    <dataField name="Average of Old price" fld="2" subtotal="average" baseField="0" baseItem="1" numFmtId="1"/>
    <dataField name="Average of Discount" fld="3" subtotal="average" baseField="0" baseItem="1" numFmtId="9"/>
    <dataField name="Average of Rating" fld="5"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9BD1AA-9C10-407F-8FE1-DA830BED5ECD}" name="PivotTable1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7"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numFmtId="1" showAll="0"/>
    <pivotField dataField="1" showAll="0"/>
    <pivotField numFmtId="1" showAll="0"/>
    <pivotField showAll="0">
      <items count="5">
        <item h="1" x="1"/>
        <item x="0"/>
        <item h="1" x="2"/>
        <item h="1" x="3"/>
        <item t="default"/>
      </items>
    </pivotField>
    <pivotField showAll="0">
      <items count="4">
        <item x="1"/>
        <item x="2"/>
        <item x="0"/>
        <item t="default"/>
      </items>
    </pivotField>
  </pivotFields>
  <rowFields count="1">
    <field x="0"/>
  </rowFields>
  <rowItems count="8">
    <i>
      <x v="40"/>
    </i>
    <i>
      <x v="44"/>
    </i>
    <i>
      <x v="52"/>
    </i>
    <i>
      <x v="57"/>
    </i>
    <i>
      <x v="65"/>
    </i>
    <i>
      <x v="68"/>
    </i>
    <i>
      <x v="87"/>
    </i>
    <i t="grand">
      <x/>
    </i>
  </rowItems>
  <colItems count="1">
    <i/>
  </colItems>
  <dataFields count="1">
    <dataField name="Max of Rating" fld="5" subtotal="max" baseField="0" baseItem="0"/>
  </dataField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FF9D24-47BB-4BE7-ADA8-CC73538C39D4}" name="PivotTable1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dataField="1" numFmtId="1" showAll="0"/>
    <pivotField showAll="0"/>
    <pivotField numFmtId="1" showAll="0"/>
    <pivotField showAll="0">
      <items count="5">
        <item h="1" x="1"/>
        <item x="0"/>
        <item h="1" x="2"/>
        <item h="1" x="3"/>
        <item t="default"/>
      </items>
    </pivotField>
    <pivotField showAll="0">
      <items count="4">
        <item x="1"/>
        <item x="2"/>
        <item x="0"/>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numFmtId="1"/>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51D2AA-0E23-49C2-8C98-6C17D45EFD37}" name="PivotTable10"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9" showAll="0"/>
    <pivotField numFmtId="1" showAll="0"/>
    <pivotField showAll="0"/>
    <pivotField numFmtId="1" showAll="0"/>
    <pivotField showAll="0">
      <items count="5">
        <item h="1" x="1"/>
        <item x="0"/>
        <item h="1" x="2"/>
        <item h="1" x="3"/>
        <item t="default"/>
      </items>
    </pivotField>
    <pivotField showAll="0">
      <items count="4">
        <item x="1"/>
        <item x="2"/>
        <item x="0"/>
        <item t="default"/>
      </items>
    </pivotField>
  </pivotFields>
  <rowFields count="1">
    <field x="0"/>
  </rowFields>
  <rowItems count="12">
    <i>
      <x v="31"/>
    </i>
    <i>
      <x v="53"/>
    </i>
    <i>
      <x v="30"/>
    </i>
    <i>
      <x v="70"/>
    </i>
    <i>
      <x v="99"/>
    </i>
    <i>
      <x v="84"/>
    </i>
    <i>
      <x v="67"/>
    </i>
    <i>
      <x v="52"/>
    </i>
    <i>
      <x v="20"/>
    </i>
    <i>
      <x v="64"/>
    </i>
    <i>
      <x v="60"/>
    </i>
    <i t="grand">
      <x/>
    </i>
  </rowItems>
  <colItems count="1">
    <i/>
  </colItems>
  <dataFields count="1">
    <dataField name="Max of Discount" fld="3" subtotal="max"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09883D-80A8-4FAB-8113-EFB55D95A7AA}"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9">
    <pivotField showAll="0"/>
    <pivotField numFmtId="1" showAll="0"/>
    <pivotField numFmtId="1" showAll="0"/>
    <pivotField numFmtId="9" showAll="0"/>
    <pivotField dataField="1" showAll="0"/>
    <pivotField dataField="1" showAll="0"/>
    <pivotField numFmtId="1" showAll="0"/>
    <pivotField showAll="0">
      <items count="5">
        <item h="1" x="1"/>
        <item x="0"/>
        <item h="1" x="2"/>
        <item h="1" x="3"/>
        <item t="default"/>
      </items>
    </pivotField>
    <pivotField axis="axisRow" showAll="0">
      <items count="4">
        <item x="1"/>
        <item x="2"/>
        <item x="0"/>
        <item t="default"/>
      </items>
    </pivotField>
  </pivotFields>
  <rowFields count="1">
    <field x="8"/>
  </rowFields>
  <rowItems count="4">
    <i>
      <x/>
    </i>
    <i>
      <x v="1"/>
    </i>
    <i>
      <x v="2"/>
    </i>
    <i t="grand">
      <x/>
    </i>
  </rowItems>
  <colFields count="1">
    <field x="-2"/>
  </colFields>
  <colItems count="2">
    <i>
      <x/>
    </i>
    <i i="1">
      <x v="1"/>
    </i>
  </colItems>
  <dataFields count="2">
    <dataField name="Average of Rating" fld="5" subtotal="average" baseField="8" baseItem="0" numFmtId="164"/>
    <dataField name="Number of Reviews" fld="4" baseField="8" baseItem="0"/>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70F926-5DDC-4EF9-B4B1-53F947CFA370}"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C117" firstHeaderRow="0"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multipleItemSelectionAllowed="1" showAll="0"/>
    <pivotField dataField="1" showAll="0"/>
    <pivotField showAll="0"/>
    <pivotField numFmtId="1" showAll="0"/>
    <pivotField showAll="0">
      <items count="5">
        <item x="1"/>
        <item x="0"/>
        <item x="2"/>
        <item x="3"/>
        <item t="default"/>
      </items>
    </pivotField>
    <pivotField showAll="0">
      <items count="4">
        <item x="1"/>
        <item x="2"/>
        <item x="0"/>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2">
    <i>
      <x/>
    </i>
    <i i="1">
      <x v="1"/>
    </i>
  </colItems>
  <dataFields count="2">
    <dataField name="Number of Reviews" fld="4" baseField="0" baseItem="0"/>
    <dataField name="Discount Percentage" fld="3" subtotal="average" baseField="0" baseItem="0" numFmtId="9"/>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670570-F596-488C-9AAA-5080587567D7}"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dataField="1" showAll="0"/>
    <pivotField numFmtId="1" showAll="0"/>
    <pivotField numFmtId="1" showAll="0"/>
    <pivotField dataField="1" numFmtId="9" showAll="0"/>
    <pivotField dataField="1" showAll="0"/>
    <pivotField dataField="1" showAll="0"/>
    <pivotField numFmtId="1" showAll="0"/>
    <pivotField showAll="0">
      <items count="5">
        <item x="1"/>
        <item x="0"/>
        <item x="2"/>
        <item x="3"/>
        <item t="default"/>
      </items>
    </pivotField>
    <pivotField showAll="0">
      <items count="4">
        <item x="1"/>
        <item x="2"/>
        <item x="0"/>
        <item t="default"/>
      </items>
    </pivotField>
  </pivotFields>
  <rowItems count="1">
    <i/>
  </rowItems>
  <colFields count="1">
    <field x="-2"/>
  </colFields>
  <colItems count="4">
    <i>
      <x/>
    </i>
    <i i="1">
      <x v="1"/>
    </i>
    <i i="2">
      <x v="2"/>
    </i>
    <i i="3">
      <x v="3"/>
    </i>
  </colItems>
  <dataFields count="4">
    <dataField name="Count of Product" fld="0" subtotal="count" baseField="0" baseItem="0"/>
    <dataField name="Average of Rating" fld="5" subtotal="average" baseField="0" baseItem="1" numFmtId="2"/>
    <dataField name="Average of Discount" fld="3" subtotal="average" baseField="0" baseItem="1" numFmtId="9"/>
    <dataField name="Sum of Review" fld="4" baseField="0" baseItem="1"/>
  </dataFields>
  <formats count="1">
    <format dxfId="5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A5E201-A3F1-4168-9EA7-9AD946F929B4}"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9">
    <pivotField dataField="1" showAll="0"/>
    <pivotField numFmtId="1" showAll="0"/>
    <pivotField numFmtId="1" showAll="0"/>
    <pivotField numFmtId="9" showAll="0"/>
    <pivotField showAll="0"/>
    <pivotField showAll="0"/>
    <pivotField numFmtId="1" showAll="0"/>
    <pivotField axis="axisRow" showAll="0">
      <items count="5">
        <item x="1"/>
        <item x="0"/>
        <item x="3"/>
        <item x="2"/>
        <item t="default"/>
      </items>
    </pivotField>
    <pivotField showAll="0"/>
  </pivotFields>
  <rowFields count="1">
    <field x="7"/>
  </rowFields>
  <rowItems count="5">
    <i>
      <x/>
    </i>
    <i>
      <x v="1"/>
    </i>
    <i>
      <x v="2"/>
    </i>
    <i>
      <x v="3"/>
    </i>
    <i t="grand">
      <x/>
    </i>
  </rowItems>
  <colItems count="1">
    <i/>
  </colItems>
  <dataFields count="1">
    <dataField name="Number of Products"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7" count="1" selected="0">
            <x v="0"/>
          </reference>
        </references>
      </pivotArea>
    </chartFormat>
    <chartFormat chart="20" format="12">
      <pivotArea type="data" outline="0" fieldPosition="0">
        <references count="2">
          <reference field="4294967294" count="1" selected="0">
            <x v="0"/>
          </reference>
          <reference field="7" count="1" selected="0">
            <x v="1"/>
          </reference>
        </references>
      </pivotArea>
    </chartFormat>
    <chartFormat chart="20" format="13">
      <pivotArea type="data" outline="0" fieldPosition="0">
        <references count="2">
          <reference field="4294967294" count="1" selected="0">
            <x v="0"/>
          </reference>
          <reference field="7" count="1" selected="0">
            <x v="2"/>
          </reference>
        </references>
      </pivotArea>
    </chartFormat>
    <chartFormat chart="20"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5C31DE-ACDF-4C8B-817B-131FBA80FE06}"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B14" firstHeaderRow="1" firstDataRow="1" firstDataCol="1"/>
  <pivotFields count="9">
    <pivotField dataField="1" showAll="0"/>
    <pivotField numFmtId="1" showAll="0"/>
    <pivotField numFmtId="1" showAll="0"/>
    <pivotField numFmtId="9" showAll="0"/>
    <pivotField showAll="0"/>
    <pivotField showAll="0"/>
    <pivotField numFmtId="1" showAll="0"/>
    <pivotField showAll="0"/>
    <pivotField axis="axisRow" showAll="0">
      <items count="4">
        <item x="1"/>
        <item x="2"/>
        <item x="0"/>
        <item t="default"/>
      </items>
    </pivotField>
  </pivotFields>
  <rowFields count="1">
    <field x="8"/>
  </rowFields>
  <rowItems count="4">
    <i>
      <x/>
    </i>
    <i>
      <x v="1"/>
    </i>
    <i>
      <x v="2"/>
    </i>
    <i t="grand">
      <x/>
    </i>
  </rowItems>
  <colItems count="1">
    <i/>
  </colItems>
  <dataFields count="1">
    <dataField name="Number of Products"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8" count="1" selected="0">
            <x v="0"/>
          </reference>
        </references>
      </pivotArea>
    </chartFormat>
    <chartFormat chart="15" format="10">
      <pivotArea type="data" outline="0" fieldPosition="0">
        <references count="2">
          <reference field="4294967294" count="1" selected="0">
            <x v="0"/>
          </reference>
          <reference field="8" count="1" selected="0">
            <x v="1"/>
          </reference>
        </references>
      </pivotArea>
    </chartFormat>
    <chartFormat chart="1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50952E-4F90-410A-88DB-8A0A282349B8}" name="PivotTable1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9">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numFmtId="1" showAll="0"/>
    <pivotField dataField="1" showAll="0"/>
    <pivotField numFmtId="1" showAll="0"/>
    <pivotField showAll="0">
      <items count="5">
        <item x="1"/>
        <item x="0"/>
        <item x="2"/>
        <item x="3"/>
        <item t="default"/>
      </items>
    </pivotField>
    <pivotField showAll="0">
      <items count="4">
        <item x="1"/>
        <item x="2"/>
        <item x="0"/>
        <item t="default"/>
      </items>
    </pivotField>
  </pivotFields>
  <rowFields count="1">
    <field x="0"/>
  </rowFields>
  <rowItems count="11">
    <i>
      <x v="22"/>
    </i>
    <i>
      <x v="90"/>
    </i>
    <i>
      <x v="70"/>
    </i>
    <i>
      <x v="57"/>
    </i>
    <i>
      <x v="68"/>
    </i>
    <i>
      <x v="44"/>
    </i>
    <i>
      <x v="65"/>
    </i>
    <i>
      <x v="87"/>
    </i>
    <i>
      <x v="40"/>
    </i>
    <i>
      <x v="52"/>
    </i>
    <i t="grand">
      <x/>
    </i>
  </rowItems>
  <colItems count="1">
    <i/>
  </colItems>
  <dataFields count="1">
    <dataField name="Max of Rating" fld="5" subtotal="max"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9B4223-A467-4BE4-9888-41FFBD4F8A01}" name="PivotTable1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dataField="1" numFmtId="1" showAll="0"/>
    <pivotField showAll="0"/>
    <pivotField numFmtId="1" showAll="0"/>
    <pivotField showAll="0">
      <items count="5">
        <item x="1"/>
        <item x="0"/>
        <item x="2"/>
        <item x="3"/>
        <item t="default"/>
      </items>
    </pivotField>
    <pivotField showAll="0">
      <items count="4">
        <item x="1"/>
        <item x="2"/>
        <item x="0"/>
        <item t="default"/>
      </items>
    </pivotField>
  </pivotFields>
  <rowFields count="1">
    <field x="0"/>
  </rowFields>
  <rowItems count="11">
    <i>
      <x v="26"/>
    </i>
    <i>
      <x v="28"/>
    </i>
    <i>
      <x v="91"/>
    </i>
    <i>
      <x v="27"/>
    </i>
    <i>
      <x v="95"/>
    </i>
    <i>
      <x v="1"/>
    </i>
    <i>
      <x v="18"/>
    </i>
    <i>
      <x v="59"/>
    </i>
    <i>
      <x v="8"/>
    </i>
    <i>
      <x v="5"/>
    </i>
    <i t="grand">
      <x/>
    </i>
  </rowItems>
  <colItems count="1">
    <i/>
  </colItems>
  <dataFields count="1">
    <dataField name="Sum of Review" fld="4"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841CB4-CCFF-4B5E-8BF7-EBAC30048B74}" name="PivotTable1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9">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98"/>
        <item x="40"/>
        <item x="21"/>
        <item x="58"/>
        <item x="28"/>
        <item x="34"/>
        <item x="33"/>
        <item x="79"/>
        <item x="71"/>
        <item x="106"/>
        <item x="90"/>
        <item x="45"/>
        <item x="76"/>
        <item x="64"/>
        <item x="97"/>
        <item x="99"/>
        <item x="67"/>
        <item x="56"/>
        <item x="4"/>
        <item x="60"/>
        <item x="96"/>
        <item x="42"/>
        <item x="17"/>
        <item x="108"/>
        <item x="49"/>
        <item x="46"/>
        <item x="83"/>
        <item x="103"/>
        <item x="44"/>
        <item x="55"/>
        <item x="16"/>
        <item x="48"/>
        <item x="75"/>
        <item x="53"/>
        <item x="7"/>
        <item x="15"/>
        <item x="72"/>
        <item x="25"/>
        <item x="30"/>
        <item x="23"/>
        <item x="10"/>
        <item x="81"/>
        <item x="62"/>
        <item x="35"/>
        <item x="68"/>
        <item x="24"/>
        <item x="12"/>
        <item x="13"/>
        <item x="78"/>
        <item x="39"/>
        <item x="32"/>
        <item x="22"/>
        <item x="102"/>
        <item x="18"/>
        <item x="77"/>
        <item x="1"/>
        <item x="95"/>
        <item x="41"/>
        <item x="14"/>
        <item x="86"/>
        <item x="29"/>
        <item x="52"/>
        <item x="59"/>
        <item x="82"/>
        <item x="84"/>
        <item x="8"/>
        <item x="50"/>
        <item x="51"/>
        <item x="36"/>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9" showAll="0"/>
    <pivotField numFmtId="1" showAll="0"/>
    <pivotField showAll="0"/>
    <pivotField numFmtId="1" showAll="0"/>
    <pivotField showAll="0">
      <items count="5">
        <item x="1"/>
        <item x="0"/>
        <item x="2"/>
        <item x="3"/>
        <item t="default"/>
      </items>
    </pivotField>
    <pivotField showAll="0">
      <items count="4">
        <item x="1"/>
        <item x="2"/>
        <item x="0"/>
        <item t="default"/>
      </items>
    </pivotField>
  </pivotFields>
  <rowFields count="1">
    <field x="0"/>
  </rowFields>
  <rowItems count="12">
    <i>
      <x v="60"/>
    </i>
    <i>
      <x v="64"/>
    </i>
    <i>
      <x v="20"/>
    </i>
    <i>
      <x v="52"/>
    </i>
    <i>
      <x v="84"/>
    </i>
    <i>
      <x v="67"/>
    </i>
    <i>
      <x v="99"/>
    </i>
    <i>
      <x v="70"/>
    </i>
    <i>
      <x v="30"/>
    </i>
    <i>
      <x v="53"/>
    </i>
    <i>
      <x v="31"/>
    </i>
    <i t="grand">
      <x/>
    </i>
  </rowItems>
  <colItems count="1">
    <i/>
  </colItems>
  <dataFields count="1">
    <dataField name="Max of Discount" fld="3" subtotal="max" baseField="0" baseItem="0" numFmtId="9"/>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1" xr10:uid="{BFE10268-2A17-4D99-AF1C-5AD873C16D68}" sourceName="Rating Category">
  <pivotTables>
    <pivotTable tabId="11" name="PivotTable14"/>
    <pivotTable tabId="14" name="PivotTable18"/>
    <pivotTable tabId="13" name="PivotTable17"/>
    <pivotTable tabId="5" name="PivotTable1"/>
    <pivotTable tabId="5" name="PivotTable4"/>
  </pivotTables>
  <data>
    <tabular pivotCacheId="143523489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60FF49D3-AC72-47E2-AC4C-28A1DA493401}" sourceName="Discount Category">
  <pivotTables>
    <pivotTable tabId="11" name="PivotTable14"/>
    <pivotTable tabId="14" name="PivotTable18"/>
    <pivotTable tabId="13" name="PivotTable17"/>
    <pivotTable tabId="4" name="PivotTable3"/>
    <pivotTable tabId="5" name="PivotTable1"/>
    <pivotTable tabId="5" name="PivotTable4"/>
  </pivotTables>
  <data>
    <tabular pivotCacheId="143523489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2" xr10:uid="{574E4044-DFC9-4D9E-AA25-69626CDC4F0A}" cache="Slicer_Rating_Category1" caption="Rating Category" rowHeight="241300"/>
  <slicer name="Discount Category 2" xr10:uid="{02FB9D22-E4F6-4C6E-931B-7C527FE3E7B2}" cache="Slicer_Discount_Category1"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3" xr10:uid="{A15846FD-D6B1-4E29-AFBC-D4E327F5103B}" cache="Slicer_Discount_Category1"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6E6432B1-2287-4411-AF0F-E1131A720297}" cache="Slicer_Rating_Category1" caption="Rating Category" rowHeight="241300"/>
  <slicer name="Discount Category" xr10:uid="{90CFCD36-EEDB-48E1-93DF-4F24AE83B9C2}" cache="Slicer_Discount_Category1" caption="Discount 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5630ECFE-EE80-473A-AC82-A0C155EAF973}" cache="Slicer_Rating_Category1" caption="Rating Category" rowHeight="241300"/>
  <slicer name="Discount Category 1" xr10:uid="{2540942E-4B28-4C95-B28F-3A5532168CC6}" cache="Slicer_Discount_Category1" caption="Discoun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8CA1-B7A5-4965-89F2-49F301BDB692}">
  <dimension ref="A11"/>
  <sheetViews>
    <sheetView zoomScale="60" zoomScaleNormal="60" workbookViewId="0">
      <selection activeCell="AC14" sqref="AC14"/>
    </sheetView>
  </sheetViews>
  <sheetFormatPr defaultRowHeight="14.5" x14ac:dyDescent="0.35"/>
  <cols>
    <col min="1" max="16384" width="8.7265625" style="13"/>
  </cols>
  <sheetData>
    <row r="11" s="13"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F171-E4D1-4316-89A8-5412E548AD7F}">
  <dimension ref="A3:D30"/>
  <sheetViews>
    <sheetView workbookViewId="0">
      <selection activeCell="C27" sqref="C27"/>
    </sheetView>
  </sheetViews>
  <sheetFormatPr defaultRowHeight="14.5" x14ac:dyDescent="0.35"/>
  <cols>
    <col min="1" max="1" width="15.6328125" bestFit="1" customWidth="1"/>
    <col min="2" max="2" width="15.26953125" bestFit="1" customWidth="1"/>
    <col min="3" max="3" width="17.7265625" bestFit="1" customWidth="1"/>
    <col min="4" max="4" width="30" bestFit="1" customWidth="1"/>
  </cols>
  <sheetData>
    <row r="3" spans="1:4" x14ac:dyDescent="0.35">
      <c r="A3" t="s">
        <v>133</v>
      </c>
      <c r="B3" t="s">
        <v>134</v>
      </c>
      <c r="C3" t="s">
        <v>123</v>
      </c>
      <c r="D3" t="s">
        <v>130</v>
      </c>
    </row>
    <row r="4" spans="1:4" x14ac:dyDescent="0.35">
      <c r="A4" s="6">
        <v>1186.8928571428571</v>
      </c>
      <c r="B4" s="6">
        <v>1811.1071428571429</v>
      </c>
      <c r="C4" s="1">
        <v>0.36776785714285704</v>
      </c>
      <c r="D4" s="16">
        <v>3.8894736842105262</v>
      </c>
    </row>
    <row r="7" spans="1:4" x14ac:dyDescent="0.35">
      <c r="A7" s="11" t="s">
        <v>117</v>
      </c>
      <c r="B7" t="s">
        <v>135</v>
      </c>
    </row>
    <row r="8" spans="1:4" x14ac:dyDescent="0.35">
      <c r="A8" s="12" t="s">
        <v>69</v>
      </c>
      <c r="B8" s="6">
        <v>3750</v>
      </c>
      <c r="C8" s="17" t="s">
        <v>136</v>
      </c>
      <c r="D8" s="17"/>
    </row>
    <row r="9" spans="1:4" x14ac:dyDescent="0.35">
      <c r="A9" s="12" t="s">
        <v>118</v>
      </c>
      <c r="B9" s="6">
        <v>3750</v>
      </c>
    </row>
    <row r="12" spans="1:4" x14ac:dyDescent="0.35">
      <c r="A12" s="11" t="s">
        <v>117</v>
      </c>
      <c r="B12" t="s">
        <v>135</v>
      </c>
    </row>
    <row r="13" spans="1:4" x14ac:dyDescent="0.35">
      <c r="A13" s="12" t="s">
        <v>23</v>
      </c>
      <c r="B13" s="6">
        <v>38</v>
      </c>
      <c r="C13" s="17" t="s">
        <v>137</v>
      </c>
      <c r="D13" s="17"/>
    </row>
    <row r="14" spans="1:4" x14ac:dyDescent="0.35">
      <c r="A14" s="12" t="s">
        <v>118</v>
      </c>
      <c r="B14" s="6">
        <v>38</v>
      </c>
    </row>
    <row r="17" spans="1:4" x14ac:dyDescent="0.35">
      <c r="A17" s="19" t="s">
        <v>138</v>
      </c>
      <c r="B17" s="19"/>
      <c r="C17" s="19"/>
      <c r="D17" s="19"/>
    </row>
    <row r="18" spans="1:4" x14ac:dyDescent="0.35">
      <c r="A18" s="11" t="s">
        <v>117</v>
      </c>
      <c r="B18" t="s">
        <v>130</v>
      </c>
      <c r="C18" t="s">
        <v>123</v>
      </c>
      <c r="D18" t="s">
        <v>140</v>
      </c>
    </row>
    <row r="19" spans="1:4" x14ac:dyDescent="0.35">
      <c r="A19" s="12" t="s">
        <v>120</v>
      </c>
      <c r="B19" s="4">
        <v>3.6580645161290311</v>
      </c>
      <c r="C19" s="1">
        <v>0.48206349206349186</v>
      </c>
      <c r="D19" s="6">
        <v>710.92063492063494</v>
      </c>
    </row>
    <row r="20" spans="1:4" x14ac:dyDescent="0.35">
      <c r="A20" s="12" t="s">
        <v>121</v>
      </c>
      <c r="B20" s="4">
        <v>3.7249999999999996</v>
      </c>
      <c r="C20" s="1">
        <v>7.2222222222222243E-2</v>
      </c>
      <c r="D20" s="6">
        <v>175.66666666666666</v>
      </c>
    </row>
    <row r="21" spans="1:4" x14ac:dyDescent="0.35">
      <c r="A21" s="12" t="s">
        <v>125</v>
      </c>
      <c r="B21" s="4">
        <v>4.245454545454546</v>
      </c>
      <c r="C21" s="1">
        <v>0.30709677419354831</v>
      </c>
      <c r="D21" s="6">
        <v>708.45161290322585</v>
      </c>
    </row>
    <row r="22" spans="1:4" x14ac:dyDescent="0.35">
      <c r="A22" s="12" t="s">
        <v>118</v>
      </c>
      <c r="B22" s="4">
        <v>3.8894736842105244</v>
      </c>
      <c r="C22" s="1">
        <v>0.3677678571428572</v>
      </c>
      <c r="D22" s="6">
        <v>624.21428571428567</v>
      </c>
    </row>
    <row r="25" spans="1:4" x14ac:dyDescent="0.35">
      <c r="A25" s="19" t="s">
        <v>139</v>
      </c>
      <c r="B25" s="19"/>
    </row>
    <row r="26" spans="1:4" x14ac:dyDescent="0.35">
      <c r="A26" s="11" t="s">
        <v>117</v>
      </c>
      <c r="B26" t="s">
        <v>122</v>
      </c>
    </row>
    <row r="27" spans="1:4" x14ac:dyDescent="0.35">
      <c r="A27" s="12" t="s">
        <v>120</v>
      </c>
      <c r="B27" s="16">
        <v>63</v>
      </c>
    </row>
    <row r="28" spans="1:4" x14ac:dyDescent="0.35">
      <c r="A28" s="12" t="s">
        <v>121</v>
      </c>
      <c r="B28" s="16">
        <v>18</v>
      </c>
    </row>
    <row r="29" spans="1:4" x14ac:dyDescent="0.35">
      <c r="A29" s="12" t="s">
        <v>125</v>
      </c>
      <c r="B29" s="16">
        <v>31</v>
      </c>
    </row>
    <row r="30" spans="1:4" x14ac:dyDescent="0.35">
      <c r="A30" s="12" t="s">
        <v>118</v>
      </c>
      <c r="B30" s="16">
        <v>112</v>
      </c>
    </row>
  </sheetData>
  <mergeCells count="4">
    <mergeCell ref="C8:D8"/>
    <mergeCell ref="C13:D13"/>
    <mergeCell ref="A25:B25"/>
    <mergeCell ref="A17:D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F4F2-B2B6-431C-986F-6536653EE1AD}">
  <dimension ref="L3:P6"/>
  <sheetViews>
    <sheetView workbookViewId="0">
      <selection activeCell="L11" sqref="L11"/>
    </sheetView>
  </sheetViews>
  <sheetFormatPr defaultRowHeight="14.5" x14ac:dyDescent="0.35"/>
  <cols>
    <col min="1" max="1" width="12.36328125" bestFit="1" customWidth="1"/>
    <col min="2" max="2" width="13.08984375" bestFit="1" customWidth="1"/>
  </cols>
  <sheetData>
    <row r="3" spans="12:16" x14ac:dyDescent="0.35">
      <c r="L3" s="18" t="s">
        <v>141</v>
      </c>
      <c r="M3" s="18"/>
      <c r="N3" s="18"/>
      <c r="O3" s="18"/>
      <c r="P3" s="18"/>
    </row>
    <row r="4" spans="12:16" x14ac:dyDescent="0.35">
      <c r="L4" s="18"/>
      <c r="M4" s="18"/>
      <c r="N4" s="18"/>
      <c r="O4" s="18"/>
      <c r="P4" s="18"/>
    </row>
    <row r="5" spans="12:16" x14ac:dyDescent="0.35">
      <c r="L5" s="18" t="s">
        <v>142</v>
      </c>
      <c r="M5" s="18"/>
      <c r="N5" s="18"/>
      <c r="O5" s="18"/>
      <c r="P5" s="18"/>
    </row>
    <row r="6" spans="12:16" x14ac:dyDescent="0.35">
      <c r="L6" s="18"/>
      <c r="M6" s="18"/>
      <c r="N6" s="18"/>
      <c r="O6" s="18"/>
      <c r="P6" s="18"/>
    </row>
  </sheetData>
  <mergeCells count="2">
    <mergeCell ref="L3:P4"/>
    <mergeCell ref="L5:P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F4FC-AAA0-493E-995B-523E7A25C9B6}">
  <dimension ref="L3:Q6"/>
  <sheetViews>
    <sheetView workbookViewId="0">
      <selection activeCell="L5" sqref="L5:Q6"/>
    </sheetView>
  </sheetViews>
  <sheetFormatPr defaultRowHeight="14.5" x14ac:dyDescent="0.35"/>
  <cols>
    <col min="1" max="2" width="13.08984375" bestFit="1" customWidth="1"/>
  </cols>
  <sheetData>
    <row r="3" spans="12:17" x14ac:dyDescent="0.35">
      <c r="L3" s="18" t="s">
        <v>143</v>
      </c>
      <c r="M3" s="18"/>
      <c r="N3" s="18"/>
      <c r="O3" s="18"/>
      <c r="P3" s="18"/>
      <c r="Q3" s="18"/>
    </row>
    <row r="4" spans="12:17" x14ac:dyDescent="0.35">
      <c r="L4" s="18"/>
      <c r="M4" s="18"/>
      <c r="N4" s="18"/>
      <c r="O4" s="18"/>
      <c r="P4" s="18"/>
      <c r="Q4" s="18"/>
    </row>
    <row r="5" spans="12:17" x14ac:dyDescent="0.35">
      <c r="L5" s="18" t="s">
        <v>144</v>
      </c>
      <c r="M5" s="18"/>
      <c r="N5" s="18"/>
      <c r="O5" s="18"/>
      <c r="P5" s="18"/>
      <c r="Q5" s="18"/>
    </row>
    <row r="6" spans="12:17" x14ac:dyDescent="0.35">
      <c r="L6" s="18"/>
      <c r="M6" s="18"/>
      <c r="N6" s="18"/>
      <c r="O6" s="18"/>
      <c r="P6" s="18"/>
      <c r="Q6" s="18"/>
    </row>
  </sheetData>
  <mergeCells count="2">
    <mergeCell ref="L3:Q4"/>
    <mergeCell ref="L5:Q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E88A0-8CD4-4C48-B940-A9FEAF624F91}">
  <dimension ref="A2:E27"/>
  <sheetViews>
    <sheetView zoomScale="90" zoomScaleNormal="90" workbookViewId="0">
      <selection activeCell="D3" sqref="D3"/>
    </sheetView>
  </sheetViews>
  <sheetFormatPr defaultRowHeight="14.5" x14ac:dyDescent="0.35"/>
  <cols>
    <col min="1" max="1" width="65.6328125" bestFit="1" customWidth="1"/>
    <col min="2" max="2" width="12.6328125" bestFit="1" customWidth="1"/>
    <col min="4" max="4" width="62.90625" bestFit="1" customWidth="1"/>
    <col min="5" max="5" width="13.453125" bestFit="1" customWidth="1"/>
  </cols>
  <sheetData>
    <row r="2" spans="1:5" x14ac:dyDescent="0.35">
      <c r="A2" s="17" t="s">
        <v>146</v>
      </c>
      <c r="B2" s="17"/>
      <c r="D2" s="17" t="s">
        <v>147</v>
      </c>
      <c r="E2" s="17"/>
    </row>
    <row r="3" spans="1:5" x14ac:dyDescent="0.35">
      <c r="A3" s="11" t="s">
        <v>117</v>
      </c>
      <c r="B3" t="s">
        <v>145</v>
      </c>
      <c r="D3" s="11" t="s">
        <v>117</v>
      </c>
      <c r="E3" t="s">
        <v>119</v>
      </c>
    </row>
    <row r="4" spans="1:5" x14ac:dyDescent="0.35">
      <c r="A4" s="12" t="s">
        <v>109</v>
      </c>
      <c r="B4" s="1">
        <v>0.64</v>
      </c>
      <c r="D4" s="12" t="s">
        <v>64</v>
      </c>
      <c r="E4" s="6">
        <v>69</v>
      </c>
    </row>
    <row r="5" spans="1:5" x14ac:dyDescent="0.35">
      <c r="A5" s="12" t="s">
        <v>51</v>
      </c>
      <c r="B5" s="1">
        <v>0.61</v>
      </c>
      <c r="D5" s="12" t="s">
        <v>9</v>
      </c>
      <c r="E5" s="6">
        <v>55</v>
      </c>
    </row>
    <row r="6" spans="1:5" x14ac:dyDescent="0.35">
      <c r="A6" s="12" t="s">
        <v>63</v>
      </c>
      <c r="B6" s="1">
        <v>0.55000000000000004</v>
      </c>
      <c r="D6" s="12" t="s">
        <v>28</v>
      </c>
      <c r="E6" s="6">
        <v>49</v>
      </c>
    </row>
    <row r="7" spans="1:5" x14ac:dyDescent="0.35">
      <c r="A7" s="12" t="s">
        <v>11</v>
      </c>
      <c r="B7" s="1">
        <v>0.55000000000000004</v>
      </c>
      <c r="D7" s="12" t="s">
        <v>22</v>
      </c>
      <c r="E7" s="6">
        <v>44</v>
      </c>
    </row>
    <row r="8" spans="1:5" x14ac:dyDescent="0.35">
      <c r="A8" s="12" t="s">
        <v>57</v>
      </c>
      <c r="B8" s="1">
        <v>0.55000000000000004</v>
      </c>
      <c r="D8" s="12" t="s">
        <v>14</v>
      </c>
      <c r="E8" s="6">
        <v>39</v>
      </c>
    </row>
    <row r="9" spans="1:5" x14ac:dyDescent="0.35">
      <c r="A9" s="12" t="s">
        <v>62</v>
      </c>
      <c r="B9" s="1">
        <v>0.54</v>
      </c>
      <c r="D9" s="12" t="s">
        <v>40</v>
      </c>
      <c r="E9" s="6">
        <v>36</v>
      </c>
    </row>
    <row r="10" spans="1:5" x14ac:dyDescent="0.35">
      <c r="A10" s="12" t="s">
        <v>27</v>
      </c>
      <c r="B10" s="1">
        <v>0.54</v>
      </c>
      <c r="D10" s="12" t="s">
        <v>37</v>
      </c>
      <c r="E10" s="6">
        <v>32</v>
      </c>
    </row>
    <row r="11" spans="1:5" x14ac:dyDescent="0.35">
      <c r="A11" s="12" t="s">
        <v>39</v>
      </c>
      <c r="B11" s="1">
        <v>0.53</v>
      </c>
      <c r="D11" s="12" t="s">
        <v>5</v>
      </c>
      <c r="E11" s="6">
        <v>24</v>
      </c>
    </row>
    <row r="12" spans="1:5" x14ac:dyDescent="0.35">
      <c r="A12" s="12" t="s">
        <v>23</v>
      </c>
      <c r="B12" s="1">
        <v>0.53</v>
      </c>
      <c r="D12" s="12" t="s">
        <v>36</v>
      </c>
      <c r="E12" s="6">
        <v>20</v>
      </c>
    </row>
    <row r="13" spans="1:5" x14ac:dyDescent="0.35">
      <c r="A13" s="12" t="s">
        <v>65</v>
      </c>
      <c r="B13" s="1">
        <v>0.52</v>
      </c>
      <c r="D13" s="12" t="s">
        <v>31</v>
      </c>
      <c r="E13" s="6">
        <v>20</v>
      </c>
    </row>
    <row r="14" spans="1:5" x14ac:dyDescent="0.35">
      <c r="A14" s="12" t="s">
        <v>33</v>
      </c>
      <c r="B14" s="1">
        <v>0.52</v>
      </c>
      <c r="D14" s="12" t="s">
        <v>118</v>
      </c>
      <c r="E14" s="6">
        <v>388</v>
      </c>
    </row>
    <row r="15" spans="1:5" x14ac:dyDescent="0.35">
      <c r="A15" s="12" t="s">
        <v>118</v>
      </c>
      <c r="B15" s="1">
        <v>0.64</v>
      </c>
    </row>
    <row r="18" spans="1:5" x14ac:dyDescent="0.35">
      <c r="A18" s="17" t="s">
        <v>149</v>
      </c>
      <c r="B18" s="17"/>
      <c r="D18" s="17" t="s">
        <v>150</v>
      </c>
      <c r="E18" s="17"/>
    </row>
    <row r="19" spans="1:5" x14ac:dyDescent="0.35">
      <c r="A19" s="11" t="s">
        <v>117</v>
      </c>
      <c r="B19" t="s">
        <v>148</v>
      </c>
      <c r="D19" s="20" t="s">
        <v>0</v>
      </c>
      <c r="E19" s="21" t="s">
        <v>129</v>
      </c>
    </row>
    <row r="20" spans="1:5" x14ac:dyDescent="0.35">
      <c r="A20" s="12" t="s">
        <v>18</v>
      </c>
      <c r="B20" s="16">
        <v>5</v>
      </c>
      <c r="D20" t="s">
        <v>67</v>
      </c>
      <c r="E20" s="4">
        <v>2.2000000000000002</v>
      </c>
    </row>
    <row r="21" spans="1:5" x14ac:dyDescent="0.35">
      <c r="A21" s="12" t="s">
        <v>81</v>
      </c>
      <c r="B21" s="16">
        <v>5</v>
      </c>
      <c r="D21" t="s">
        <v>74</v>
      </c>
      <c r="E21" s="4">
        <v>2.2000000000000002</v>
      </c>
    </row>
    <row r="22" spans="1:5" x14ac:dyDescent="0.35">
      <c r="A22" s="12" t="s">
        <v>39</v>
      </c>
      <c r="B22" s="16">
        <v>5</v>
      </c>
      <c r="D22" t="s">
        <v>63</v>
      </c>
      <c r="E22" s="4">
        <v>2.1</v>
      </c>
    </row>
    <row r="23" spans="1:5" x14ac:dyDescent="0.35">
      <c r="A23" s="12" t="s">
        <v>38</v>
      </c>
      <c r="B23" s="16">
        <v>5</v>
      </c>
      <c r="D23" t="s">
        <v>75</v>
      </c>
      <c r="E23" s="4">
        <v>2.1</v>
      </c>
    </row>
    <row r="24" spans="1:5" x14ac:dyDescent="0.35">
      <c r="A24" s="12" t="s">
        <v>101</v>
      </c>
      <c r="B24" s="16">
        <v>5</v>
      </c>
      <c r="D24" t="s">
        <v>110</v>
      </c>
      <c r="E24" s="4">
        <v>2</v>
      </c>
    </row>
    <row r="25" spans="1:5" x14ac:dyDescent="0.35">
      <c r="A25" s="12" t="s">
        <v>20</v>
      </c>
      <c r="B25" s="16">
        <v>5</v>
      </c>
    </row>
    <row r="26" spans="1:5" x14ac:dyDescent="0.35">
      <c r="A26" s="12" t="s">
        <v>19</v>
      </c>
      <c r="B26" s="16">
        <v>5</v>
      </c>
      <c r="D26" s="22" t="s">
        <v>151</v>
      </c>
    </row>
    <row r="27" spans="1:5" x14ac:dyDescent="0.35">
      <c r="A27" s="12" t="s">
        <v>118</v>
      </c>
      <c r="B27" s="16">
        <v>5</v>
      </c>
    </row>
  </sheetData>
  <mergeCells count="4">
    <mergeCell ref="A2:B2"/>
    <mergeCell ref="D2:E2"/>
    <mergeCell ref="A18:B18"/>
    <mergeCell ref="D18:E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AC68-C4AF-4C4A-BD57-D732A275BB60}">
  <dimension ref="A3:C7"/>
  <sheetViews>
    <sheetView workbookViewId="0">
      <selection activeCell="C12" sqref="C12"/>
    </sheetView>
  </sheetViews>
  <sheetFormatPr defaultRowHeight="14.5" x14ac:dyDescent="0.35"/>
  <cols>
    <col min="1" max="1" width="15.6328125" bestFit="1" customWidth="1"/>
    <col min="2" max="2" width="15.54296875" bestFit="1" customWidth="1"/>
    <col min="3" max="3" width="17.1796875" bestFit="1" customWidth="1"/>
  </cols>
  <sheetData>
    <row r="3" spans="1:3" x14ac:dyDescent="0.35">
      <c r="A3" s="11" t="s">
        <v>117</v>
      </c>
      <c r="B3" t="s">
        <v>130</v>
      </c>
      <c r="C3" t="s">
        <v>127</v>
      </c>
    </row>
    <row r="4" spans="1:3" x14ac:dyDescent="0.35">
      <c r="A4" s="12" t="s">
        <v>120</v>
      </c>
      <c r="B4" s="4">
        <v>3.6580645161290311</v>
      </c>
      <c r="C4" s="16">
        <v>335</v>
      </c>
    </row>
    <row r="5" spans="1:3" x14ac:dyDescent="0.35">
      <c r="A5" s="12" t="s">
        <v>121</v>
      </c>
      <c r="B5" s="4">
        <v>3.7249999999999996</v>
      </c>
      <c r="C5" s="16">
        <v>38</v>
      </c>
    </row>
    <row r="6" spans="1:3" x14ac:dyDescent="0.35">
      <c r="A6" s="12" t="s">
        <v>125</v>
      </c>
      <c r="B6" s="4">
        <v>4.245454545454546</v>
      </c>
      <c r="C6" s="16">
        <v>350</v>
      </c>
    </row>
    <row r="7" spans="1:3" x14ac:dyDescent="0.35">
      <c r="A7" s="12" t="s">
        <v>118</v>
      </c>
      <c r="B7" s="4">
        <v>3.8894736842105244</v>
      </c>
      <c r="C7" s="16">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A686-10E7-4AB5-B863-077B432B586B}">
  <dimension ref="A3:D117"/>
  <sheetViews>
    <sheetView topLeftCell="D1" workbookViewId="0">
      <selection activeCell="A7" sqref="A7"/>
    </sheetView>
  </sheetViews>
  <sheetFormatPr defaultRowHeight="14.5" x14ac:dyDescent="0.35"/>
  <cols>
    <col min="1" max="1" width="15.26953125" bestFit="1" customWidth="1"/>
    <col min="2" max="2" width="15.54296875" bestFit="1" customWidth="1"/>
    <col min="3" max="3" width="17.7265625" bestFit="1" customWidth="1"/>
    <col min="4" max="4" width="13.08984375" bestFit="1" customWidth="1"/>
    <col min="5" max="10" width="3.81640625" bestFit="1" customWidth="1"/>
    <col min="11" max="11" width="1.81640625" bestFit="1" customWidth="1"/>
    <col min="12" max="13" width="3.81640625" bestFit="1" customWidth="1"/>
    <col min="14" max="14" width="1.81640625" bestFit="1" customWidth="1"/>
    <col min="15" max="22" width="3.81640625" bestFit="1" customWidth="1"/>
    <col min="23" max="23" width="1.81640625" bestFit="1" customWidth="1"/>
    <col min="24" max="24" width="8.90625" bestFit="1" customWidth="1"/>
    <col min="25" max="25" width="10.7265625" bestFit="1" customWidth="1"/>
    <col min="26" max="109" width="90.1796875" bestFit="1" customWidth="1"/>
    <col min="110" max="110" width="10.7265625" bestFit="1" customWidth="1"/>
  </cols>
  <sheetData>
    <row r="3" spans="1:4" x14ac:dyDescent="0.35">
      <c r="A3" t="s">
        <v>122</v>
      </c>
      <c r="B3" t="s">
        <v>130</v>
      </c>
      <c r="C3" t="s">
        <v>123</v>
      </c>
      <c r="D3" t="s">
        <v>119</v>
      </c>
    </row>
    <row r="4" spans="1:4" x14ac:dyDescent="0.35">
      <c r="A4" s="16">
        <v>112</v>
      </c>
      <c r="B4" s="14">
        <v>3.8894736842105262</v>
      </c>
      <c r="C4" s="1">
        <v>0.36776785714285704</v>
      </c>
      <c r="D4" s="16">
        <v>723</v>
      </c>
    </row>
    <row r="7" spans="1:4" x14ac:dyDescent="0.35">
      <c r="A7" s="11" t="s">
        <v>117</v>
      </c>
      <c r="B7" t="s">
        <v>127</v>
      </c>
      <c r="C7" t="s">
        <v>128</v>
      </c>
    </row>
    <row r="8" spans="1:4" x14ac:dyDescent="0.35">
      <c r="A8" s="12" t="s">
        <v>41</v>
      </c>
      <c r="B8" s="16">
        <v>2</v>
      </c>
      <c r="C8" s="1">
        <v>0.38</v>
      </c>
    </row>
    <row r="9" spans="1:4" x14ac:dyDescent="0.35">
      <c r="A9" s="12" t="s">
        <v>14</v>
      </c>
      <c r="B9" s="16">
        <v>39</v>
      </c>
      <c r="C9" s="1">
        <v>0.34</v>
      </c>
    </row>
    <row r="10" spans="1:4" x14ac:dyDescent="0.35">
      <c r="A10" s="12" t="s">
        <v>3</v>
      </c>
      <c r="B10" s="16">
        <v>2</v>
      </c>
      <c r="C10" s="1">
        <v>0.38</v>
      </c>
    </row>
    <row r="11" spans="1:4" x14ac:dyDescent="0.35">
      <c r="A11" s="12" t="s">
        <v>30</v>
      </c>
      <c r="B11" s="16">
        <v>13</v>
      </c>
      <c r="C11" s="1">
        <v>0.32</v>
      </c>
    </row>
    <row r="12" spans="1:4" x14ac:dyDescent="0.35">
      <c r="A12" s="12" t="s">
        <v>34</v>
      </c>
      <c r="B12" s="16">
        <v>12</v>
      </c>
      <c r="C12" s="1">
        <v>0.34</v>
      </c>
    </row>
    <row r="13" spans="1:4" x14ac:dyDescent="0.35">
      <c r="A13" s="12" t="s">
        <v>64</v>
      </c>
      <c r="B13" s="16">
        <v>69</v>
      </c>
      <c r="C13" s="1">
        <v>0.49</v>
      </c>
    </row>
    <row r="14" spans="1:4" x14ac:dyDescent="0.35">
      <c r="A14" s="12" t="s">
        <v>60</v>
      </c>
      <c r="B14" s="16">
        <v>0</v>
      </c>
      <c r="C14" s="1">
        <v>0.27</v>
      </c>
    </row>
    <row r="15" spans="1:4" x14ac:dyDescent="0.35">
      <c r="A15" s="12" t="s">
        <v>12</v>
      </c>
      <c r="B15" s="16">
        <v>5</v>
      </c>
      <c r="C15" s="1">
        <v>0.45</v>
      </c>
    </row>
    <row r="16" spans="1:4" x14ac:dyDescent="0.35">
      <c r="A16" s="12" t="s">
        <v>9</v>
      </c>
      <c r="B16" s="16">
        <v>55</v>
      </c>
      <c r="C16" s="1">
        <v>0.24</v>
      </c>
    </row>
    <row r="17" spans="1:3" x14ac:dyDescent="0.35">
      <c r="A17" s="12" t="s">
        <v>104</v>
      </c>
      <c r="B17" s="16">
        <v>0</v>
      </c>
      <c r="C17" s="1">
        <v>0.24</v>
      </c>
    </row>
    <row r="18" spans="1:3" x14ac:dyDescent="0.35">
      <c r="A18" s="12" t="s">
        <v>83</v>
      </c>
      <c r="B18" s="16">
        <v>0</v>
      </c>
      <c r="C18" s="1">
        <v>0.02</v>
      </c>
    </row>
    <row r="19" spans="1:3" x14ac:dyDescent="0.35">
      <c r="A19" s="12" t="s">
        <v>8</v>
      </c>
      <c r="B19" s="16">
        <v>15</v>
      </c>
      <c r="C19" s="1">
        <v>0.09</v>
      </c>
    </row>
    <row r="20" spans="1:3" x14ac:dyDescent="0.35">
      <c r="A20" s="12" t="s">
        <v>103</v>
      </c>
      <c r="B20" s="16">
        <v>0</v>
      </c>
      <c r="C20" s="1">
        <v>0.01</v>
      </c>
    </row>
    <row r="21" spans="1:3" x14ac:dyDescent="0.35">
      <c r="A21" s="12" t="s">
        <v>94</v>
      </c>
      <c r="B21" s="16">
        <v>0</v>
      </c>
      <c r="C21" s="1">
        <v>0.5</v>
      </c>
    </row>
    <row r="22" spans="1:3" x14ac:dyDescent="0.35">
      <c r="A22" s="12" t="s">
        <v>50</v>
      </c>
      <c r="B22" s="16">
        <v>0</v>
      </c>
      <c r="C22" s="1">
        <v>0.38</v>
      </c>
    </row>
    <row r="23" spans="1:3" x14ac:dyDescent="0.35">
      <c r="A23" s="12" t="s">
        <v>76</v>
      </c>
      <c r="B23" s="16">
        <v>0</v>
      </c>
      <c r="C23" s="1">
        <v>0.47</v>
      </c>
    </row>
    <row r="24" spans="1:3" x14ac:dyDescent="0.35">
      <c r="A24" s="12" t="s">
        <v>69</v>
      </c>
      <c r="B24" s="16">
        <v>5</v>
      </c>
      <c r="C24" s="1">
        <v>0.39</v>
      </c>
    </row>
    <row r="25" spans="1:3" x14ac:dyDescent="0.35">
      <c r="A25" s="12" t="s">
        <v>68</v>
      </c>
      <c r="B25" s="16">
        <v>7</v>
      </c>
      <c r="C25" s="1">
        <v>0.5</v>
      </c>
    </row>
    <row r="26" spans="1:3" x14ac:dyDescent="0.35">
      <c r="A26" s="12" t="s">
        <v>22</v>
      </c>
      <c r="B26" s="16">
        <v>44</v>
      </c>
      <c r="C26" s="1">
        <v>0.49</v>
      </c>
    </row>
    <row r="27" spans="1:3" x14ac:dyDescent="0.35">
      <c r="A27" s="12" t="s">
        <v>77</v>
      </c>
      <c r="B27" s="16">
        <v>0</v>
      </c>
      <c r="C27" s="1">
        <v>0.43</v>
      </c>
    </row>
    <row r="28" spans="1:3" x14ac:dyDescent="0.35">
      <c r="A28" s="12" t="s">
        <v>23</v>
      </c>
      <c r="B28" s="16">
        <v>13</v>
      </c>
      <c r="C28" s="1">
        <v>0.53</v>
      </c>
    </row>
    <row r="29" spans="1:3" x14ac:dyDescent="0.35">
      <c r="A29" s="12" t="s">
        <v>97</v>
      </c>
      <c r="B29" s="16">
        <v>0</v>
      </c>
      <c r="C29" s="1">
        <v>0.49</v>
      </c>
    </row>
    <row r="30" spans="1:3" x14ac:dyDescent="0.35">
      <c r="A30" s="12" t="s">
        <v>15</v>
      </c>
      <c r="B30" s="16">
        <v>12</v>
      </c>
      <c r="C30" s="1">
        <v>0.47</v>
      </c>
    </row>
    <row r="31" spans="1:3" x14ac:dyDescent="0.35">
      <c r="A31" s="12" t="s">
        <v>43</v>
      </c>
      <c r="B31" s="16">
        <v>0</v>
      </c>
      <c r="C31" s="1">
        <v>0.49</v>
      </c>
    </row>
    <row r="32" spans="1:3" x14ac:dyDescent="0.35">
      <c r="A32" s="12" t="s">
        <v>24</v>
      </c>
      <c r="B32" s="16">
        <v>0</v>
      </c>
      <c r="C32" s="1">
        <v>0.42</v>
      </c>
    </row>
    <row r="33" spans="1:3" x14ac:dyDescent="0.35">
      <c r="A33" s="12" t="s">
        <v>61</v>
      </c>
      <c r="B33" s="16">
        <v>6</v>
      </c>
      <c r="C33" s="1">
        <v>0.13</v>
      </c>
    </row>
    <row r="34" spans="1:3" x14ac:dyDescent="0.35">
      <c r="A34" s="12" t="s">
        <v>31</v>
      </c>
      <c r="B34" s="16">
        <v>20</v>
      </c>
      <c r="C34" s="1">
        <v>0.3</v>
      </c>
    </row>
    <row r="35" spans="1:3" x14ac:dyDescent="0.35">
      <c r="A35" s="12" t="s">
        <v>37</v>
      </c>
      <c r="B35" s="16">
        <v>32</v>
      </c>
      <c r="C35" s="1">
        <v>0.27</v>
      </c>
    </row>
    <row r="36" spans="1:3" x14ac:dyDescent="0.35">
      <c r="A36" s="12" t="s">
        <v>36</v>
      </c>
      <c r="B36" s="16">
        <v>20</v>
      </c>
      <c r="C36" s="1">
        <v>0.27</v>
      </c>
    </row>
    <row r="37" spans="1:3" x14ac:dyDescent="0.35">
      <c r="A37" s="12" t="s">
        <v>82</v>
      </c>
      <c r="B37" s="16">
        <v>0</v>
      </c>
      <c r="C37" s="1">
        <v>0.36</v>
      </c>
    </row>
    <row r="38" spans="1:3" x14ac:dyDescent="0.35">
      <c r="A38" s="12" t="s">
        <v>63</v>
      </c>
      <c r="B38" s="16">
        <v>13</v>
      </c>
      <c r="C38" s="1">
        <v>0.55000000000000004</v>
      </c>
    </row>
    <row r="39" spans="1:3" x14ac:dyDescent="0.35">
      <c r="A39" s="12" t="s">
        <v>109</v>
      </c>
      <c r="B39" s="16">
        <v>0</v>
      </c>
      <c r="C39" s="1">
        <v>0.64</v>
      </c>
    </row>
    <row r="40" spans="1:3" x14ac:dyDescent="0.35">
      <c r="A40" s="12" t="s">
        <v>93</v>
      </c>
      <c r="B40" s="16">
        <v>0</v>
      </c>
      <c r="C40" s="1">
        <v>0.47</v>
      </c>
    </row>
    <row r="41" spans="1:3" x14ac:dyDescent="0.35">
      <c r="A41" s="12" t="s">
        <v>48</v>
      </c>
      <c r="B41" s="16">
        <v>0</v>
      </c>
      <c r="C41" s="1">
        <v>0.33</v>
      </c>
    </row>
    <row r="42" spans="1:3" x14ac:dyDescent="0.35">
      <c r="A42" s="12" t="s">
        <v>79</v>
      </c>
      <c r="B42" s="16">
        <v>0</v>
      </c>
      <c r="C42" s="1">
        <v>0.49</v>
      </c>
    </row>
    <row r="43" spans="1:3" x14ac:dyDescent="0.35">
      <c r="A43" s="12" t="s">
        <v>74</v>
      </c>
      <c r="B43" s="16">
        <v>6</v>
      </c>
      <c r="C43" s="1">
        <v>0.47</v>
      </c>
    </row>
    <row r="44" spans="1:3" x14ac:dyDescent="0.35">
      <c r="A44" s="12" t="s">
        <v>100</v>
      </c>
      <c r="B44" s="16">
        <v>0</v>
      </c>
      <c r="C44" s="1">
        <v>0.42</v>
      </c>
    </row>
    <row r="45" spans="1:3" x14ac:dyDescent="0.35">
      <c r="A45" s="12" t="s">
        <v>102</v>
      </c>
      <c r="B45" s="16">
        <v>0</v>
      </c>
      <c r="C45" s="1">
        <v>0.41</v>
      </c>
    </row>
    <row r="46" spans="1:3" x14ac:dyDescent="0.35">
      <c r="A46" s="12" t="s">
        <v>70</v>
      </c>
      <c r="B46" s="16">
        <v>17</v>
      </c>
      <c r="C46" s="1">
        <v>0.45</v>
      </c>
    </row>
    <row r="47" spans="1:3" x14ac:dyDescent="0.35">
      <c r="A47" s="12" t="s">
        <v>59</v>
      </c>
      <c r="B47" s="16">
        <v>0</v>
      </c>
      <c r="C47" s="1">
        <v>0.49</v>
      </c>
    </row>
    <row r="48" spans="1:3" x14ac:dyDescent="0.35">
      <c r="A48" s="12" t="s">
        <v>18</v>
      </c>
      <c r="B48" s="16">
        <v>2</v>
      </c>
      <c r="C48" s="1">
        <v>0.51</v>
      </c>
    </row>
    <row r="49" spans="1:3" x14ac:dyDescent="0.35">
      <c r="A49" s="12" t="s">
        <v>67</v>
      </c>
      <c r="B49" s="16">
        <v>6</v>
      </c>
      <c r="C49" s="1">
        <v>0.45</v>
      </c>
    </row>
    <row r="50" spans="1:3" x14ac:dyDescent="0.35">
      <c r="A50" s="12" t="s">
        <v>99</v>
      </c>
      <c r="B50" s="16">
        <v>0</v>
      </c>
      <c r="C50" s="1">
        <v>0.49</v>
      </c>
    </row>
    <row r="51" spans="1:3" x14ac:dyDescent="0.35">
      <c r="A51" s="12" t="s">
        <v>45</v>
      </c>
      <c r="B51" s="16">
        <v>0</v>
      </c>
      <c r="C51" s="1">
        <v>0.42</v>
      </c>
    </row>
    <row r="52" spans="1:3" x14ac:dyDescent="0.35">
      <c r="A52" s="12" t="s">
        <v>81</v>
      </c>
      <c r="B52" s="16">
        <v>1</v>
      </c>
      <c r="C52" s="1">
        <v>0.49</v>
      </c>
    </row>
    <row r="53" spans="1:3" x14ac:dyDescent="0.35">
      <c r="A53" s="12" t="s">
        <v>111</v>
      </c>
      <c r="B53" s="16">
        <v>0</v>
      </c>
      <c r="C53" s="1">
        <v>0.47</v>
      </c>
    </row>
    <row r="54" spans="1:3" x14ac:dyDescent="0.35">
      <c r="A54" s="12" t="s">
        <v>52</v>
      </c>
      <c r="B54" s="16">
        <v>0</v>
      </c>
      <c r="C54" s="1">
        <v>0.5</v>
      </c>
    </row>
    <row r="55" spans="1:3" x14ac:dyDescent="0.35">
      <c r="A55" s="12" t="s">
        <v>49</v>
      </c>
      <c r="B55" s="16">
        <v>0</v>
      </c>
      <c r="C55" s="1">
        <v>0.49</v>
      </c>
    </row>
    <row r="56" spans="1:3" x14ac:dyDescent="0.35">
      <c r="A56" s="12" t="s">
        <v>86</v>
      </c>
      <c r="B56" s="16">
        <v>0</v>
      </c>
      <c r="C56" s="1">
        <v>0.49</v>
      </c>
    </row>
    <row r="57" spans="1:3" x14ac:dyDescent="0.35">
      <c r="A57" s="12" t="s">
        <v>106</v>
      </c>
      <c r="B57" s="16">
        <v>0</v>
      </c>
      <c r="C57" s="1">
        <v>0.34</v>
      </c>
    </row>
    <row r="58" spans="1:3" x14ac:dyDescent="0.35">
      <c r="A58" s="12" t="s">
        <v>47</v>
      </c>
      <c r="B58" s="16">
        <v>0</v>
      </c>
      <c r="C58" s="1">
        <v>0.5</v>
      </c>
    </row>
    <row r="59" spans="1:3" x14ac:dyDescent="0.35">
      <c r="A59" s="12" t="s">
        <v>58</v>
      </c>
      <c r="B59" s="16">
        <v>0</v>
      </c>
      <c r="C59" s="1">
        <v>0.48</v>
      </c>
    </row>
    <row r="60" spans="1:3" x14ac:dyDescent="0.35">
      <c r="A60" s="12" t="s">
        <v>39</v>
      </c>
      <c r="B60" s="16">
        <v>2</v>
      </c>
      <c r="C60" s="1">
        <v>0.53</v>
      </c>
    </row>
    <row r="61" spans="1:3" x14ac:dyDescent="0.35">
      <c r="A61" s="12" t="s">
        <v>51</v>
      </c>
      <c r="B61" s="16">
        <v>0</v>
      </c>
      <c r="C61" s="1">
        <v>0.55000000000000004</v>
      </c>
    </row>
    <row r="62" spans="1:3" x14ac:dyDescent="0.35">
      <c r="A62" s="12" t="s">
        <v>78</v>
      </c>
      <c r="B62" s="16">
        <v>0</v>
      </c>
      <c r="C62" s="1">
        <v>0.04</v>
      </c>
    </row>
    <row r="63" spans="1:3" x14ac:dyDescent="0.35">
      <c r="A63" s="12" t="s">
        <v>56</v>
      </c>
      <c r="B63" s="16">
        <v>0</v>
      </c>
      <c r="C63" s="1">
        <v>0.41</v>
      </c>
    </row>
    <row r="64" spans="1:3" x14ac:dyDescent="0.35">
      <c r="A64" s="12" t="s">
        <v>10</v>
      </c>
      <c r="B64" s="16">
        <v>2</v>
      </c>
      <c r="C64" s="1">
        <v>0.37</v>
      </c>
    </row>
    <row r="65" spans="1:3" x14ac:dyDescent="0.35">
      <c r="A65" s="12" t="s">
        <v>38</v>
      </c>
      <c r="B65" s="16">
        <v>1</v>
      </c>
      <c r="C65" s="1">
        <v>0.4</v>
      </c>
    </row>
    <row r="66" spans="1:3" x14ac:dyDescent="0.35">
      <c r="A66" s="12" t="s">
        <v>75</v>
      </c>
      <c r="B66" s="16">
        <v>7</v>
      </c>
      <c r="C66" s="1">
        <v>0.47</v>
      </c>
    </row>
    <row r="67" spans="1:3" x14ac:dyDescent="0.35">
      <c r="A67" s="12" t="s">
        <v>28</v>
      </c>
      <c r="B67" s="16">
        <v>49</v>
      </c>
      <c r="C67" s="1">
        <v>0.35</v>
      </c>
    </row>
    <row r="68" spans="1:3" x14ac:dyDescent="0.35">
      <c r="A68" s="12" t="s">
        <v>33</v>
      </c>
      <c r="B68" s="16">
        <v>9</v>
      </c>
      <c r="C68" s="1">
        <v>0.52</v>
      </c>
    </row>
    <row r="69" spans="1:3" x14ac:dyDescent="0.35">
      <c r="A69" s="12" t="s">
        <v>26</v>
      </c>
      <c r="B69" s="16">
        <v>14</v>
      </c>
      <c r="C69" s="1">
        <v>0.23</v>
      </c>
    </row>
    <row r="70" spans="1:3" x14ac:dyDescent="0.35">
      <c r="A70" s="12" t="s">
        <v>13</v>
      </c>
      <c r="B70" s="16">
        <v>12</v>
      </c>
      <c r="C70" s="1">
        <v>0.2</v>
      </c>
    </row>
    <row r="71" spans="1:3" x14ac:dyDescent="0.35">
      <c r="A71" s="12" t="s">
        <v>84</v>
      </c>
      <c r="B71" s="16">
        <v>1</v>
      </c>
      <c r="C71" s="1">
        <v>0.49</v>
      </c>
    </row>
    <row r="72" spans="1:3" x14ac:dyDescent="0.35">
      <c r="A72" s="12" t="s">
        <v>65</v>
      </c>
      <c r="B72" s="16">
        <v>15</v>
      </c>
      <c r="C72" s="1">
        <v>0.52</v>
      </c>
    </row>
    <row r="73" spans="1:3" x14ac:dyDescent="0.35">
      <c r="A73" s="12" t="s">
        <v>101</v>
      </c>
      <c r="B73" s="16">
        <v>1</v>
      </c>
      <c r="C73" s="1">
        <v>0.21</v>
      </c>
    </row>
    <row r="74" spans="1:3" x14ac:dyDescent="0.35">
      <c r="A74" s="12" t="s">
        <v>71</v>
      </c>
      <c r="B74" s="16">
        <v>5</v>
      </c>
      <c r="C74" s="1">
        <v>0.28999999999999998</v>
      </c>
    </row>
    <row r="75" spans="1:3" x14ac:dyDescent="0.35">
      <c r="A75" s="12" t="s">
        <v>27</v>
      </c>
      <c r="B75" s="16">
        <v>7</v>
      </c>
      <c r="C75" s="1">
        <v>0.54</v>
      </c>
    </row>
    <row r="76" spans="1:3" x14ac:dyDescent="0.35">
      <c r="A76" s="12" t="s">
        <v>20</v>
      </c>
      <c r="B76" s="16">
        <v>3</v>
      </c>
      <c r="C76" s="1">
        <v>0.49</v>
      </c>
    </row>
    <row r="77" spans="1:3" x14ac:dyDescent="0.35">
      <c r="A77" s="12" t="s">
        <v>16</v>
      </c>
      <c r="B77" s="16">
        <v>6</v>
      </c>
      <c r="C77" s="1">
        <v>0.42</v>
      </c>
    </row>
    <row r="78" spans="1:3" x14ac:dyDescent="0.35">
      <c r="A78" s="12" t="s">
        <v>11</v>
      </c>
      <c r="B78" s="16">
        <v>5</v>
      </c>
      <c r="C78" s="1">
        <v>0.55000000000000004</v>
      </c>
    </row>
    <row r="79" spans="1:3" x14ac:dyDescent="0.35">
      <c r="A79" s="12" t="s">
        <v>42</v>
      </c>
      <c r="B79" s="16">
        <v>0</v>
      </c>
      <c r="C79" s="1">
        <v>0.38</v>
      </c>
    </row>
    <row r="80" spans="1:3" x14ac:dyDescent="0.35">
      <c r="A80" s="12" t="s">
        <v>35</v>
      </c>
      <c r="B80" s="16">
        <v>9</v>
      </c>
      <c r="C80" s="1">
        <v>0.48</v>
      </c>
    </row>
    <row r="81" spans="1:3" x14ac:dyDescent="0.35">
      <c r="A81" s="12" t="s">
        <v>25</v>
      </c>
      <c r="B81" s="16">
        <v>6</v>
      </c>
      <c r="C81" s="1">
        <v>0.35</v>
      </c>
    </row>
    <row r="82" spans="1:3" x14ac:dyDescent="0.35">
      <c r="A82" s="12" t="s">
        <v>105</v>
      </c>
      <c r="B82" s="16">
        <v>0</v>
      </c>
      <c r="C82" s="1">
        <v>0.34</v>
      </c>
    </row>
    <row r="83" spans="1:3" x14ac:dyDescent="0.35">
      <c r="A83" s="12" t="s">
        <v>21</v>
      </c>
      <c r="B83" s="16">
        <v>5</v>
      </c>
      <c r="C83" s="1">
        <v>0.19</v>
      </c>
    </row>
    <row r="84" spans="1:3" x14ac:dyDescent="0.35">
      <c r="A84" s="12" t="s">
        <v>80</v>
      </c>
      <c r="B84" s="16">
        <v>1</v>
      </c>
      <c r="C84" s="1">
        <v>0.46</v>
      </c>
    </row>
    <row r="85" spans="1:3" x14ac:dyDescent="0.35">
      <c r="A85" s="12" t="s">
        <v>4</v>
      </c>
      <c r="B85" s="16">
        <v>14</v>
      </c>
      <c r="C85" s="1">
        <v>0.47</v>
      </c>
    </row>
    <row r="86" spans="1:3" x14ac:dyDescent="0.35">
      <c r="A86" s="12" t="s">
        <v>98</v>
      </c>
      <c r="B86" s="16">
        <v>0</v>
      </c>
      <c r="C86" s="1">
        <v>0.04</v>
      </c>
    </row>
    <row r="87" spans="1:3" x14ac:dyDescent="0.35">
      <c r="A87" s="12" t="s">
        <v>44</v>
      </c>
      <c r="B87" s="16">
        <v>0</v>
      </c>
      <c r="C87" s="1">
        <v>0.5</v>
      </c>
    </row>
    <row r="88" spans="1:3" x14ac:dyDescent="0.35">
      <c r="A88" s="12" t="s">
        <v>17</v>
      </c>
      <c r="B88" s="16">
        <v>9</v>
      </c>
      <c r="C88" s="1">
        <v>0.33</v>
      </c>
    </row>
    <row r="89" spans="1:3" x14ac:dyDescent="0.35">
      <c r="A89" s="12" t="s">
        <v>89</v>
      </c>
      <c r="B89" s="16">
        <v>0</v>
      </c>
      <c r="C89" s="1">
        <v>0.43</v>
      </c>
    </row>
    <row r="90" spans="1:3" x14ac:dyDescent="0.35">
      <c r="A90" s="12" t="s">
        <v>32</v>
      </c>
      <c r="B90" s="16">
        <v>0</v>
      </c>
      <c r="C90" s="1">
        <v>0.46</v>
      </c>
    </row>
    <row r="91" spans="1:3" x14ac:dyDescent="0.35">
      <c r="A91" s="12" t="s">
        <v>55</v>
      </c>
      <c r="B91" s="16">
        <v>0</v>
      </c>
      <c r="C91" s="1">
        <v>0.03</v>
      </c>
    </row>
    <row r="92" spans="1:3" x14ac:dyDescent="0.35">
      <c r="A92" s="12" t="s">
        <v>62</v>
      </c>
      <c r="B92" s="16">
        <v>10</v>
      </c>
      <c r="C92" s="1">
        <v>0.54</v>
      </c>
    </row>
    <row r="93" spans="1:3" x14ac:dyDescent="0.35">
      <c r="A93" s="12" t="s">
        <v>85</v>
      </c>
      <c r="B93" s="16">
        <v>0</v>
      </c>
      <c r="C93" s="1">
        <v>0.14000000000000001</v>
      </c>
    </row>
    <row r="94" spans="1:3" x14ac:dyDescent="0.35">
      <c r="A94" s="12" t="s">
        <v>87</v>
      </c>
      <c r="B94" s="16">
        <v>0</v>
      </c>
      <c r="C94" s="1">
        <v>0.11</v>
      </c>
    </row>
    <row r="95" spans="1:3" x14ac:dyDescent="0.35">
      <c r="A95" s="12" t="s">
        <v>19</v>
      </c>
      <c r="B95" s="16">
        <v>2</v>
      </c>
      <c r="C95" s="1">
        <v>0.46</v>
      </c>
    </row>
    <row r="96" spans="1:3" x14ac:dyDescent="0.35">
      <c r="A96" s="12" t="s">
        <v>53</v>
      </c>
      <c r="B96" s="16">
        <v>0</v>
      </c>
      <c r="C96" s="1">
        <v>0.02</v>
      </c>
    </row>
    <row r="97" spans="1:3" x14ac:dyDescent="0.35">
      <c r="A97" s="12" t="s">
        <v>54</v>
      </c>
      <c r="B97" s="16">
        <v>0</v>
      </c>
      <c r="C97" s="1">
        <v>0.22</v>
      </c>
    </row>
    <row r="98" spans="1:3" x14ac:dyDescent="0.35">
      <c r="A98" s="12" t="s">
        <v>7</v>
      </c>
      <c r="B98" s="16">
        <v>5</v>
      </c>
      <c r="C98" s="1">
        <v>0.26</v>
      </c>
    </row>
    <row r="99" spans="1:3" x14ac:dyDescent="0.35">
      <c r="A99" s="12" t="s">
        <v>5</v>
      </c>
      <c r="B99" s="16">
        <v>24</v>
      </c>
      <c r="C99" s="1">
        <v>0.25</v>
      </c>
    </row>
    <row r="100" spans="1:3" x14ac:dyDescent="0.35">
      <c r="A100" s="12" t="s">
        <v>96</v>
      </c>
      <c r="B100" s="16">
        <v>0</v>
      </c>
      <c r="C100" s="1">
        <v>0.02</v>
      </c>
    </row>
    <row r="101" spans="1:3" x14ac:dyDescent="0.35">
      <c r="A101" s="12" t="s">
        <v>29</v>
      </c>
      <c r="B101" s="16">
        <v>12</v>
      </c>
      <c r="C101" s="1">
        <v>0.18</v>
      </c>
    </row>
    <row r="102" spans="1:3" x14ac:dyDescent="0.35">
      <c r="A102" s="12" t="s">
        <v>91</v>
      </c>
      <c r="B102" s="16">
        <v>0</v>
      </c>
      <c r="C102" s="1">
        <v>0.48</v>
      </c>
    </row>
    <row r="103" spans="1:3" x14ac:dyDescent="0.35">
      <c r="A103" s="12" t="s">
        <v>40</v>
      </c>
      <c r="B103" s="16">
        <v>36</v>
      </c>
      <c r="C103" s="1">
        <v>0.41</v>
      </c>
    </row>
    <row r="104" spans="1:3" x14ac:dyDescent="0.35">
      <c r="A104" s="12" t="s">
        <v>92</v>
      </c>
      <c r="B104" s="16">
        <v>0</v>
      </c>
      <c r="C104" s="1">
        <v>0.48</v>
      </c>
    </row>
    <row r="105" spans="1:3" x14ac:dyDescent="0.35">
      <c r="A105" s="12" t="s">
        <v>46</v>
      </c>
      <c r="B105" s="16">
        <v>0</v>
      </c>
      <c r="C105" s="1">
        <v>0.02</v>
      </c>
    </row>
    <row r="106" spans="1:3" x14ac:dyDescent="0.35">
      <c r="A106" s="12" t="s">
        <v>107</v>
      </c>
      <c r="B106" s="16">
        <v>0</v>
      </c>
      <c r="C106" s="1">
        <v>0.02</v>
      </c>
    </row>
    <row r="107" spans="1:3" x14ac:dyDescent="0.35">
      <c r="A107" s="12" t="s">
        <v>57</v>
      </c>
      <c r="B107" s="16">
        <v>0</v>
      </c>
      <c r="C107" s="1">
        <v>0.5</v>
      </c>
    </row>
    <row r="108" spans="1:3" x14ac:dyDescent="0.35">
      <c r="A108" s="12" t="s">
        <v>108</v>
      </c>
      <c r="B108" s="16">
        <v>0</v>
      </c>
      <c r="C108" s="1">
        <v>0.02</v>
      </c>
    </row>
    <row r="109" spans="1:3" x14ac:dyDescent="0.35">
      <c r="A109" s="12" t="s">
        <v>66</v>
      </c>
      <c r="B109" s="16">
        <v>16</v>
      </c>
      <c r="C109" s="1">
        <v>0.22</v>
      </c>
    </row>
    <row r="110" spans="1:3" x14ac:dyDescent="0.35">
      <c r="A110" s="12" t="s">
        <v>90</v>
      </c>
      <c r="B110" s="16">
        <v>0</v>
      </c>
      <c r="C110" s="1">
        <v>0.5</v>
      </c>
    </row>
    <row r="111" spans="1:3" x14ac:dyDescent="0.35">
      <c r="A111" s="12" t="s">
        <v>95</v>
      </c>
      <c r="B111" s="16">
        <v>0</v>
      </c>
      <c r="C111" s="1">
        <v>0.08</v>
      </c>
    </row>
    <row r="112" spans="1:3" x14ac:dyDescent="0.35">
      <c r="A112" s="12" t="s">
        <v>110</v>
      </c>
      <c r="B112" s="16">
        <v>1</v>
      </c>
      <c r="C112" s="1">
        <v>0.5</v>
      </c>
    </row>
    <row r="113" spans="1:3" x14ac:dyDescent="0.35">
      <c r="A113" s="12" t="s">
        <v>88</v>
      </c>
      <c r="B113" s="16">
        <v>0</v>
      </c>
      <c r="C113" s="1">
        <v>0.14000000000000001</v>
      </c>
    </row>
    <row r="114" spans="1:3" x14ac:dyDescent="0.35">
      <c r="A114" s="12" t="s">
        <v>72</v>
      </c>
      <c r="B114" s="16">
        <v>6</v>
      </c>
      <c r="C114" s="1">
        <v>0.43</v>
      </c>
    </row>
    <row r="115" spans="1:3" x14ac:dyDescent="0.35">
      <c r="A115" s="12" t="s">
        <v>6</v>
      </c>
      <c r="B115" s="16">
        <v>7</v>
      </c>
      <c r="C115" s="1">
        <v>0.37</v>
      </c>
    </row>
    <row r="116" spans="1:3" x14ac:dyDescent="0.35">
      <c r="A116" s="12" t="s">
        <v>73</v>
      </c>
      <c r="B116" s="16">
        <v>5</v>
      </c>
      <c r="C116" s="1">
        <v>0.43</v>
      </c>
    </row>
    <row r="117" spans="1:3" x14ac:dyDescent="0.35">
      <c r="A117" s="12" t="s">
        <v>118</v>
      </c>
      <c r="B117" s="16">
        <v>723</v>
      </c>
      <c r="C117" s="1">
        <v>0.36776785714285704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731D-7A4E-419B-B74A-4A14887E1B40}">
  <dimension ref="A3:B14"/>
  <sheetViews>
    <sheetView workbookViewId="0">
      <selection activeCell="L5" sqref="L5"/>
    </sheetView>
  </sheetViews>
  <sheetFormatPr defaultRowHeight="14.5" x14ac:dyDescent="0.35"/>
  <cols>
    <col min="1" max="1" width="12.36328125" bestFit="1" customWidth="1"/>
    <col min="2" max="2" width="17.90625" bestFit="1" customWidth="1"/>
  </cols>
  <sheetData>
    <row r="3" spans="1:2" x14ac:dyDescent="0.35">
      <c r="A3" s="11" t="s">
        <v>117</v>
      </c>
      <c r="B3" t="s">
        <v>126</v>
      </c>
    </row>
    <row r="4" spans="1:2" x14ac:dyDescent="0.35">
      <c r="A4" s="12" t="s">
        <v>116</v>
      </c>
      <c r="B4" s="16">
        <v>22</v>
      </c>
    </row>
    <row r="5" spans="1:2" x14ac:dyDescent="0.35">
      <c r="A5" s="12" t="s">
        <v>124</v>
      </c>
      <c r="B5" s="16">
        <v>23</v>
      </c>
    </row>
    <row r="6" spans="1:2" x14ac:dyDescent="0.35">
      <c r="A6" s="12" t="s">
        <v>152</v>
      </c>
      <c r="B6" s="16">
        <v>12</v>
      </c>
    </row>
    <row r="7" spans="1:2" x14ac:dyDescent="0.35">
      <c r="A7" s="12" t="s">
        <v>153</v>
      </c>
      <c r="B7" s="16">
        <v>55</v>
      </c>
    </row>
    <row r="8" spans="1:2" x14ac:dyDescent="0.35">
      <c r="A8" s="12" t="s">
        <v>118</v>
      </c>
      <c r="B8" s="16">
        <v>112</v>
      </c>
    </row>
    <row r="10" spans="1:2" x14ac:dyDescent="0.35">
      <c r="A10" s="11" t="s">
        <v>117</v>
      </c>
      <c r="B10" t="s">
        <v>126</v>
      </c>
    </row>
    <row r="11" spans="1:2" x14ac:dyDescent="0.35">
      <c r="A11" s="12" t="s">
        <v>120</v>
      </c>
      <c r="B11" s="16">
        <v>63</v>
      </c>
    </row>
    <row r="12" spans="1:2" x14ac:dyDescent="0.35">
      <c r="A12" s="12" t="s">
        <v>121</v>
      </c>
      <c r="B12" s="16">
        <v>18</v>
      </c>
    </row>
    <row r="13" spans="1:2" x14ac:dyDescent="0.35">
      <c r="A13" s="12" t="s">
        <v>125</v>
      </c>
      <c r="B13" s="16">
        <v>31</v>
      </c>
    </row>
    <row r="14" spans="1:2" x14ac:dyDescent="0.35">
      <c r="A14" s="12" t="s">
        <v>118</v>
      </c>
      <c r="B14" s="16">
        <v>112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99544-8FE8-4927-A86C-F7846E9868C4}">
  <dimension ref="A3:B14"/>
  <sheetViews>
    <sheetView zoomScale="60" zoomScaleNormal="60" workbookViewId="0">
      <selection activeCell="B23" sqref="B23"/>
    </sheetView>
  </sheetViews>
  <sheetFormatPr defaultRowHeight="14.5" x14ac:dyDescent="0.35"/>
  <cols>
    <col min="1" max="1" width="65.36328125" bestFit="1" customWidth="1"/>
    <col min="2" max="2" width="12.36328125" bestFit="1" customWidth="1"/>
    <col min="3" max="3" width="14.81640625" bestFit="1" customWidth="1"/>
  </cols>
  <sheetData>
    <row r="3" spans="1:2" x14ac:dyDescent="0.35">
      <c r="A3" s="11" t="s">
        <v>117</v>
      </c>
      <c r="B3" t="s">
        <v>148</v>
      </c>
    </row>
    <row r="4" spans="1:2" x14ac:dyDescent="0.35">
      <c r="A4" s="12" t="s">
        <v>15</v>
      </c>
      <c r="B4" s="16">
        <v>4.8</v>
      </c>
    </row>
    <row r="5" spans="1:2" x14ac:dyDescent="0.35">
      <c r="A5" s="12" t="s">
        <v>7</v>
      </c>
      <c r="B5" s="16">
        <v>4.8</v>
      </c>
    </row>
    <row r="6" spans="1:2" x14ac:dyDescent="0.35">
      <c r="A6" s="12" t="s">
        <v>11</v>
      </c>
      <c r="B6" s="16">
        <v>4.8</v>
      </c>
    </row>
    <row r="7" spans="1:2" x14ac:dyDescent="0.35">
      <c r="A7" s="12" t="s">
        <v>38</v>
      </c>
      <c r="B7" s="16">
        <v>5</v>
      </c>
    </row>
    <row r="8" spans="1:2" x14ac:dyDescent="0.35">
      <c r="A8" s="12" t="s">
        <v>20</v>
      </c>
      <c r="B8" s="16">
        <v>5</v>
      </c>
    </row>
    <row r="9" spans="1:2" x14ac:dyDescent="0.35">
      <c r="A9" s="12" t="s">
        <v>81</v>
      </c>
      <c r="B9" s="16">
        <v>5</v>
      </c>
    </row>
    <row r="10" spans="1:2" x14ac:dyDescent="0.35">
      <c r="A10" s="12" t="s">
        <v>101</v>
      </c>
      <c r="B10" s="16">
        <v>5</v>
      </c>
    </row>
    <row r="11" spans="1:2" x14ac:dyDescent="0.35">
      <c r="A11" s="12" t="s">
        <v>19</v>
      </c>
      <c r="B11" s="16">
        <v>5</v>
      </c>
    </row>
    <row r="12" spans="1:2" x14ac:dyDescent="0.35">
      <c r="A12" s="12" t="s">
        <v>18</v>
      </c>
      <c r="B12" s="16">
        <v>5</v>
      </c>
    </row>
    <row r="13" spans="1:2" x14ac:dyDescent="0.35">
      <c r="A13" s="12" t="s">
        <v>39</v>
      </c>
      <c r="B13" s="16">
        <v>5</v>
      </c>
    </row>
    <row r="14" spans="1:2" x14ac:dyDescent="0.35">
      <c r="A14" s="12" t="s">
        <v>118</v>
      </c>
      <c r="B14" s="16">
        <v>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FB00-2C46-4439-A78B-87B300958718}">
  <dimension ref="A3:B14"/>
  <sheetViews>
    <sheetView topLeftCell="C1" workbookViewId="0">
      <selection activeCell="A3" sqref="A3"/>
    </sheetView>
  </sheetViews>
  <sheetFormatPr defaultRowHeight="14.5" x14ac:dyDescent="0.35"/>
  <cols>
    <col min="1" max="1" width="61.453125" bestFit="1" customWidth="1"/>
    <col min="2" max="2" width="13.08984375" bestFit="1" customWidth="1"/>
  </cols>
  <sheetData>
    <row r="3" spans="1:2" x14ac:dyDescent="0.35">
      <c r="A3" s="11" t="s">
        <v>117</v>
      </c>
      <c r="B3" t="s">
        <v>119</v>
      </c>
    </row>
    <row r="4" spans="1:2" x14ac:dyDescent="0.35">
      <c r="A4" s="12" t="s">
        <v>31</v>
      </c>
      <c r="B4" s="6">
        <v>20</v>
      </c>
    </row>
    <row r="5" spans="1:2" x14ac:dyDescent="0.35">
      <c r="A5" s="12" t="s">
        <v>36</v>
      </c>
      <c r="B5" s="6">
        <v>20</v>
      </c>
    </row>
    <row r="6" spans="1:2" x14ac:dyDescent="0.35">
      <c r="A6" s="12" t="s">
        <v>5</v>
      </c>
      <c r="B6" s="6">
        <v>24</v>
      </c>
    </row>
    <row r="7" spans="1:2" x14ac:dyDescent="0.35">
      <c r="A7" s="12" t="s">
        <v>37</v>
      </c>
      <c r="B7" s="6">
        <v>32</v>
      </c>
    </row>
    <row r="8" spans="1:2" x14ac:dyDescent="0.35">
      <c r="A8" s="12" t="s">
        <v>40</v>
      </c>
      <c r="B8" s="6">
        <v>36</v>
      </c>
    </row>
    <row r="9" spans="1:2" x14ac:dyDescent="0.35">
      <c r="A9" s="12" t="s">
        <v>14</v>
      </c>
      <c r="B9" s="6">
        <v>39</v>
      </c>
    </row>
    <row r="10" spans="1:2" x14ac:dyDescent="0.35">
      <c r="A10" s="12" t="s">
        <v>22</v>
      </c>
      <c r="B10" s="6">
        <v>44</v>
      </c>
    </row>
    <row r="11" spans="1:2" x14ac:dyDescent="0.35">
      <c r="A11" s="12" t="s">
        <v>28</v>
      </c>
      <c r="B11" s="6">
        <v>49</v>
      </c>
    </row>
    <row r="12" spans="1:2" x14ac:dyDescent="0.35">
      <c r="A12" s="12" t="s">
        <v>9</v>
      </c>
      <c r="B12" s="6">
        <v>55</v>
      </c>
    </row>
    <row r="13" spans="1:2" x14ac:dyDescent="0.35">
      <c r="A13" s="12" t="s">
        <v>64</v>
      </c>
      <c r="B13" s="6">
        <v>69</v>
      </c>
    </row>
    <row r="14" spans="1:2" x14ac:dyDescent="0.35">
      <c r="A14" s="12" t="s">
        <v>118</v>
      </c>
      <c r="B14" s="6">
        <v>388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EFB4-D9D3-489B-9DB3-D3E2F2CBA724}">
  <dimension ref="A3:B15"/>
  <sheetViews>
    <sheetView topLeftCell="B1" workbookViewId="0">
      <selection activeCell="A3" sqref="A3"/>
    </sheetView>
  </sheetViews>
  <sheetFormatPr defaultRowHeight="14.5" x14ac:dyDescent="0.35"/>
  <cols>
    <col min="1" max="1" width="69.54296875" bestFit="1" customWidth="1"/>
    <col min="2" max="2" width="14.54296875" bestFit="1" customWidth="1"/>
  </cols>
  <sheetData>
    <row r="3" spans="1:2" x14ac:dyDescent="0.35">
      <c r="A3" s="11" t="s">
        <v>117</v>
      </c>
      <c r="B3" t="s">
        <v>145</v>
      </c>
    </row>
    <row r="4" spans="1:2" x14ac:dyDescent="0.35">
      <c r="A4" s="12" t="s">
        <v>33</v>
      </c>
      <c r="B4" s="1">
        <v>0.52</v>
      </c>
    </row>
    <row r="5" spans="1:2" x14ac:dyDescent="0.35">
      <c r="A5" s="12" t="s">
        <v>65</v>
      </c>
      <c r="B5" s="1">
        <v>0.52</v>
      </c>
    </row>
    <row r="6" spans="1:2" x14ac:dyDescent="0.35">
      <c r="A6" s="12" t="s">
        <v>23</v>
      </c>
      <c r="B6" s="1">
        <v>0.53</v>
      </c>
    </row>
    <row r="7" spans="1:2" x14ac:dyDescent="0.35">
      <c r="A7" s="12" t="s">
        <v>39</v>
      </c>
      <c r="B7" s="1">
        <v>0.53</v>
      </c>
    </row>
    <row r="8" spans="1:2" x14ac:dyDescent="0.35">
      <c r="A8" s="12" t="s">
        <v>62</v>
      </c>
      <c r="B8" s="1">
        <v>0.54</v>
      </c>
    </row>
    <row r="9" spans="1:2" x14ac:dyDescent="0.35">
      <c r="A9" s="12" t="s">
        <v>27</v>
      </c>
      <c r="B9" s="1">
        <v>0.54</v>
      </c>
    </row>
    <row r="10" spans="1:2" x14ac:dyDescent="0.35">
      <c r="A10" s="12" t="s">
        <v>57</v>
      </c>
      <c r="B10" s="1">
        <v>0.55000000000000004</v>
      </c>
    </row>
    <row r="11" spans="1:2" x14ac:dyDescent="0.35">
      <c r="A11" s="12" t="s">
        <v>11</v>
      </c>
      <c r="B11" s="1">
        <v>0.55000000000000004</v>
      </c>
    </row>
    <row r="12" spans="1:2" x14ac:dyDescent="0.35">
      <c r="A12" s="12" t="s">
        <v>63</v>
      </c>
      <c r="B12" s="1">
        <v>0.55000000000000004</v>
      </c>
    </row>
    <row r="13" spans="1:2" x14ac:dyDescent="0.35">
      <c r="A13" s="12" t="s">
        <v>51</v>
      </c>
      <c r="B13" s="1">
        <v>0.61</v>
      </c>
    </row>
    <row r="14" spans="1:2" x14ac:dyDescent="0.35">
      <c r="A14" s="12" t="s">
        <v>109</v>
      </c>
      <c r="B14" s="1">
        <v>0.64</v>
      </c>
    </row>
    <row r="15" spans="1:2" x14ac:dyDescent="0.35">
      <c r="A15" s="12" t="s">
        <v>118</v>
      </c>
      <c r="B15" s="1">
        <v>0.64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E454-92F6-4839-8868-F13400F4AFD9}">
  <dimension ref="A1:I117"/>
  <sheetViews>
    <sheetView tabSelected="1" workbookViewId="0">
      <selection activeCell="A15" sqref="A15"/>
    </sheetView>
  </sheetViews>
  <sheetFormatPr defaultRowHeight="14.5" x14ac:dyDescent="0.35"/>
  <cols>
    <col min="1" max="1" width="89.1796875" bestFit="1" customWidth="1"/>
    <col min="2" max="2" width="16.6328125" style="6" bestFit="1" customWidth="1"/>
    <col min="3" max="3" width="13.08984375" style="6" bestFit="1" customWidth="1"/>
    <col min="4" max="4" width="10.453125" style="1" bestFit="1" customWidth="1"/>
    <col min="5" max="5" width="9" style="6" bestFit="1" customWidth="1"/>
    <col min="6" max="6" width="17.54296875" style="4" bestFit="1" customWidth="1"/>
    <col min="7" max="7" width="20.36328125" style="6" bestFit="1" customWidth="1"/>
    <col min="8" max="8" width="14.08984375" bestFit="1" customWidth="1"/>
    <col min="9" max="9" width="16.1796875" bestFit="1" customWidth="1"/>
  </cols>
  <sheetData>
    <row r="1" spans="1:9" x14ac:dyDescent="0.35">
      <c r="A1" s="2" t="s">
        <v>0</v>
      </c>
      <c r="B1" s="5" t="s">
        <v>131</v>
      </c>
      <c r="C1" s="5" t="s">
        <v>132</v>
      </c>
      <c r="D1" s="7" t="s">
        <v>1</v>
      </c>
      <c r="E1" s="5" t="s">
        <v>2</v>
      </c>
      <c r="F1" s="3" t="s">
        <v>129</v>
      </c>
      <c r="G1" s="8" t="s">
        <v>113</v>
      </c>
      <c r="H1" s="9" t="s">
        <v>114</v>
      </c>
      <c r="I1" s="9" t="s">
        <v>115</v>
      </c>
    </row>
    <row r="2" spans="1:9" x14ac:dyDescent="0.35">
      <c r="A2" t="s">
        <v>3</v>
      </c>
      <c r="B2" s="6">
        <v>950</v>
      </c>
      <c r="C2" s="6">
        <v>1525</v>
      </c>
      <c r="D2" s="1">
        <v>0.38</v>
      </c>
      <c r="E2" s="6">
        <v>2</v>
      </c>
      <c r="F2" s="4">
        <v>4.5</v>
      </c>
      <c r="G2" s="6">
        <f>C2-B2</f>
        <v>575</v>
      </c>
      <c r="H2" t="str">
        <f>IF(F2&lt;3,"Poor",IF(F2&lt;4.5,"Average",IF(F2&lt;=5,"Excellent","Not Rated")))</f>
        <v>Excellent</v>
      </c>
      <c r="I2" t="str">
        <f>IF(D2&lt;20%,"Low Discount",IF(D2&lt;40%,"Medium Discount","High Discount"))</f>
        <v>Medium Discount</v>
      </c>
    </row>
    <row r="3" spans="1:9" x14ac:dyDescent="0.35">
      <c r="A3" t="s">
        <v>4</v>
      </c>
      <c r="B3" s="6">
        <v>527</v>
      </c>
      <c r="C3" s="6">
        <v>999</v>
      </c>
      <c r="D3" s="1">
        <v>0.47</v>
      </c>
      <c r="E3" s="6">
        <v>14</v>
      </c>
      <c r="F3" s="4">
        <v>4.0999999999999996</v>
      </c>
      <c r="G3" s="6">
        <f t="shared" ref="G2:G5" si="0">C3-B3</f>
        <v>472</v>
      </c>
      <c r="H3" t="str">
        <f t="shared" ref="H3:H66" si="1">IF(F3&lt;3,"Poor",IF(F3&lt;4.5,"Average",IF(F3&lt;=5,"Excellent","Not Rated")))</f>
        <v>Average</v>
      </c>
      <c r="I3" t="str">
        <f t="shared" ref="I3:I5" si="2">IF(D3&lt;20%,"Low Discount",IF(D3&lt;40%,"Medium Discount","High Discount"))</f>
        <v>High Discount</v>
      </c>
    </row>
    <row r="4" spans="1:9" x14ac:dyDescent="0.35">
      <c r="A4" t="s">
        <v>5</v>
      </c>
      <c r="B4" s="6">
        <v>2199</v>
      </c>
      <c r="C4" s="6">
        <v>2923</v>
      </c>
      <c r="D4" s="1">
        <v>0.25</v>
      </c>
      <c r="E4" s="6">
        <v>24</v>
      </c>
      <c r="F4" s="4">
        <v>4.5999999999999996</v>
      </c>
      <c r="G4" s="6">
        <f t="shared" si="0"/>
        <v>724</v>
      </c>
      <c r="H4" t="str">
        <f t="shared" si="1"/>
        <v>Excellent</v>
      </c>
      <c r="I4" t="str">
        <f t="shared" si="2"/>
        <v>Medium Discount</v>
      </c>
    </row>
    <row r="5" spans="1:9" x14ac:dyDescent="0.35">
      <c r="A5" t="s">
        <v>6</v>
      </c>
      <c r="B5" s="6">
        <v>1580</v>
      </c>
      <c r="C5" s="6">
        <v>2499</v>
      </c>
      <c r="D5" s="1">
        <v>0.37</v>
      </c>
      <c r="E5" s="6">
        <v>7</v>
      </c>
      <c r="F5" s="4">
        <v>4.7</v>
      </c>
      <c r="G5" s="6">
        <f t="shared" si="0"/>
        <v>919</v>
      </c>
      <c r="H5" t="str">
        <f t="shared" si="1"/>
        <v>Excellent</v>
      </c>
      <c r="I5" t="str">
        <f t="shared" si="2"/>
        <v>Medium Discount</v>
      </c>
    </row>
    <row r="6" spans="1:9" x14ac:dyDescent="0.35">
      <c r="A6" t="s">
        <v>18</v>
      </c>
      <c r="B6" s="6">
        <v>332</v>
      </c>
      <c r="C6" s="6">
        <v>684</v>
      </c>
      <c r="D6" s="1">
        <v>0.51</v>
      </c>
      <c r="E6" s="6">
        <v>2</v>
      </c>
      <c r="F6" s="4">
        <v>5</v>
      </c>
      <c r="G6" s="6">
        <f t="shared" ref="G6:G37" si="3">C6-B6</f>
        <v>352</v>
      </c>
      <c r="H6" t="str">
        <f t="shared" si="1"/>
        <v>Excellent</v>
      </c>
      <c r="I6" t="str">
        <f t="shared" ref="I6:I37" si="4">IF(D6&lt;20%,"Low Discount",IF(D6&lt;40%,"Medium Discount","High Discount"))</f>
        <v>High Discount</v>
      </c>
    </row>
    <row r="7" spans="1:9" x14ac:dyDescent="0.35">
      <c r="A7" t="s">
        <v>8</v>
      </c>
      <c r="B7" s="6">
        <v>2999</v>
      </c>
      <c r="C7" s="6">
        <v>3290</v>
      </c>
      <c r="D7" s="1">
        <v>0.09</v>
      </c>
      <c r="E7" s="6">
        <v>15</v>
      </c>
      <c r="F7" s="4">
        <v>4</v>
      </c>
      <c r="G7" s="6">
        <f>C7-B7</f>
        <v>291</v>
      </c>
      <c r="H7" t="str">
        <f t="shared" si="1"/>
        <v>Average</v>
      </c>
      <c r="I7" t="str">
        <f t="shared" si="4"/>
        <v>Low Discount</v>
      </c>
    </row>
    <row r="8" spans="1:9" x14ac:dyDescent="0.35">
      <c r="A8" t="s">
        <v>9</v>
      </c>
      <c r="B8" s="6">
        <v>2319</v>
      </c>
      <c r="C8" s="6">
        <v>3032</v>
      </c>
      <c r="D8" s="1">
        <v>0.24</v>
      </c>
      <c r="E8" s="6">
        <v>55</v>
      </c>
      <c r="F8" s="4">
        <v>4.5999999999999996</v>
      </c>
      <c r="G8" s="6">
        <f t="shared" si="3"/>
        <v>713</v>
      </c>
      <c r="H8" t="str">
        <f t="shared" si="1"/>
        <v>Excellent</v>
      </c>
      <c r="I8" t="str">
        <f t="shared" si="4"/>
        <v>Medium Discount</v>
      </c>
    </row>
    <row r="9" spans="1:9" x14ac:dyDescent="0.35">
      <c r="A9" t="s">
        <v>10</v>
      </c>
      <c r="B9" s="6">
        <v>988</v>
      </c>
      <c r="C9" s="6">
        <v>1580</v>
      </c>
      <c r="D9" s="1">
        <v>0.37</v>
      </c>
      <c r="E9" s="6">
        <v>2</v>
      </c>
      <c r="F9" s="4">
        <v>4</v>
      </c>
      <c r="G9" s="6">
        <f t="shared" si="3"/>
        <v>592</v>
      </c>
      <c r="H9" t="str">
        <f t="shared" si="1"/>
        <v>Average</v>
      </c>
      <c r="I9" t="str">
        <f t="shared" si="4"/>
        <v>Medium Discount</v>
      </c>
    </row>
    <row r="10" spans="1:9" x14ac:dyDescent="0.35">
      <c r="A10" t="s">
        <v>19</v>
      </c>
      <c r="B10" s="6">
        <v>195</v>
      </c>
      <c r="C10" s="6">
        <v>360</v>
      </c>
      <c r="D10" s="1">
        <v>0.46</v>
      </c>
      <c r="E10" s="6">
        <v>2</v>
      </c>
      <c r="F10" s="4">
        <v>5</v>
      </c>
      <c r="G10" s="6">
        <f t="shared" si="3"/>
        <v>165</v>
      </c>
      <c r="H10" t="str">
        <f t="shared" si="1"/>
        <v>Excellent</v>
      </c>
      <c r="I10" t="str">
        <f t="shared" si="4"/>
        <v>High Discount</v>
      </c>
    </row>
    <row r="11" spans="1:9" x14ac:dyDescent="0.35">
      <c r="A11" t="s">
        <v>12</v>
      </c>
      <c r="B11" s="6">
        <v>1600</v>
      </c>
      <c r="C11" s="6">
        <v>2929</v>
      </c>
      <c r="D11" s="1">
        <v>0.45</v>
      </c>
      <c r="E11" s="6">
        <v>5</v>
      </c>
      <c r="F11" s="4">
        <v>3.8</v>
      </c>
      <c r="G11" s="6">
        <f t="shared" si="3"/>
        <v>1329</v>
      </c>
      <c r="H11" t="str">
        <f t="shared" si="1"/>
        <v>Average</v>
      </c>
      <c r="I11" t="str">
        <f t="shared" si="4"/>
        <v>High Discount</v>
      </c>
    </row>
    <row r="12" spans="1:9" x14ac:dyDescent="0.35">
      <c r="A12" t="s">
        <v>13</v>
      </c>
      <c r="B12" s="6">
        <v>799</v>
      </c>
      <c r="C12" s="6">
        <v>999</v>
      </c>
      <c r="D12" s="1">
        <v>0.2</v>
      </c>
      <c r="E12" s="6">
        <v>12</v>
      </c>
      <c r="F12" s="4">
        <v>4.0999999999999996</v>
      </c>
      <c r="G12" s="6">
        <f t="shared" si="3"/>
        <v>200</v>
      </c>
      <c r="H12" t="str">
        <f t="shared" si="1"/>
        <v>Average</v>
      </c>
      <c r="I12" t="str">
        <f t="shared" si="4"/>
        <v>Medium Discount</v>
      </c>
    </row>
    <row r="13" spans="1:9" x14ac:dyDescent="0.35">
      <c r="A13" t="s">
        <v>14</v>
      </c>
      <c r="B13" s="6">
        <v>990</v>
      </c>
      <c r="C13" s="6">
        <v>1500</v>
      </c>
      <c r="D13" s="1">
        <v>0.34</v>
      </c>
      <c r="E13" s="6">
        <v>39</v>
      </c>
      <c r="F13" s="4">
        <v>4.7</v>
      </c>
      <c r="G13" s="6">
        <f t="shared" si="3"/>
        <v>510</v>
      </c>
      <c r="H13" t="str">
        <f t="shared" si="1"/>
        <v>Excellent</v>
      </c>
      <c r="I13" t="str">
        <f t="shared" si="4"/>
        <v>Medium Discount</v>
      </c>
    </row>
    <row r="14" spans="1:9" x14ac:dyDescent="0.35">
      <c r="A14" t="s">
        <v>20</v>
      </c>
      <c r="B14" s="6">
        <v>2025</v>
      </c>
      <c r="C14" s="6">
        <v>3971</v>
      </c>
      <c r="D14" s="1">
        <v>0.49</v>
      </c>
      <c r="E14" s="6">
        <v>3</v>
      </c>
      <c r="F14" s="4">
        <v>5</v>
      </c>
      <c r="G14" s="6">
        <f t="shared" si="3"/>
        <v>1946</v>
      </c>
      <c r="H14" t="str">
        <f t="shared" si="1"/>
        <v>Excellent</v>
      </c>
      <c r="I14" t="str">
        <f t="shared" si="4"/>
        <v>High Discount</v>
      </c>
    </row>
    <row r="15" spans="1:9" x14ac:dyDescent="0.35">
      <c r="A15" t="s">
        <v>16</v>
      </c>
      <c r="B15" s="6">
        <v>501</v>
      </c>
      <c r="C15" s="6">
        <v>860</v>
      </c>
      <c r="D15" s="1">
        <v>0.42</v>
      </c>
      <c r="E15" s="6">
        <v>6</v>
      </c>
      <c r="F15" s="4">
        <v>4.5</v>
      </c>
      <c r="G15" s="6">
        <f t="shared" si="3"/>
        <v>359</v>
      </c>
      <c r="H15" t="str">
        <f t="shared" si="1"/>
        <v>Excellent</v>
      </c>
      <c r="I15" t="str">
        <f t="shared" si="4"/>
        <v>High Discount</v>
      </c>
    </row>
    <row r="16" spans="1:9" x14ac:dyDescent="0.35">
      <c r="A16" t="s">
        <v>17</v>
      </c>
      <c r="B16" s="6">
        <v>1680</v>
      </c>
      <c r="C16" s="6">
        <v>2499</v>
      </c>
      <c r="D16" s="1">
        <v>0.33</v>
      </c>
      <c r="E16" s="6">
        <v>9</v>
      </c>
      <c r="F16" s="4">
        <v>4.2</v>
      </c>
      <c r="G16" s="6">
        <f t="shared" si="3"/>
        <v>819</v>
      </c>
      <c r="H16" t="str">
        <f t="shared" si="1"/>
        <v>Average</v>
      </c>
      <c r="I16" t="str">
        <f t="shared" si="4"/>
        <v>Medium Discount</v>
      </c>
    </row>
    <row r="17" spans="1:9" x14ac:dyDescent="0.35">
      <c r="A17" t="s">
        <v>38</v>
      </c>
      <c r="B17" s="6">
        <v>1620</v>
      </c>
      <c r="C17" s="6">
        <v>2690</v>
      </c>
      <c r="D17" s="1">
        <v>0.4</v>
      </c>
      <c r="E17" s="6">
        <v>1</v>
      </c>
      <c r="F17" s="4">
        <v>5</v>
      </c>
      <c r="G17" s="6">
        <f t="shared" si="3"/>
        <v>1070</v>
      </c>
      <c r="H17" t="str">
        <f t="shared" si="1"/>
        <v>Excellent</v>
      </c>
      <c r="I17" t="str">
        <f t="shared" si="4"/>
        <v>High Discount</v>
      </c>
    </row>
    <row r="18" spans="1:9" x14ac:dyDescent="0.35">
      <c r="A18" t="s">
        <v>39</v>
      </c>
      <c r="B18" s="6">
        <v>171</v>
      </c>
      <c r="C18" s="6">
        <v>360</v>
      </c>
      <c r="D18" s="1">
        <v>0.53</v>
      </c>
      <c r="E18" s="6">
        <v>2</v>
      </c>
      <c r="F18" s="4">
        <v>5</v>
      </c>
      <c r="G18" s="6">
        <f t="shared" si="3"/>
        <v>189</v>
      </c>
      <c r="H18" t="str">
        <f t="shared" si="1"/>
        <v>Excellent</v>
      </c>
      <c r="I18" t="str">
        <f t="shared" si="4"/>
        <v>High Discount</v>
      </c>
    </row>
    <row r="19" spans="1:9" x14ac:dyDescent="0.35">
      <c r="A19" t="s">
        <v>81</v>
      </c>
      <c r="B19" s="6">
        <v>979</v>
      </c>
      <c r="C19" s="6">
        <v>1920</v>
      </c>
      <c r="D19" s="1">
        <v>0.49</v>
      </c>
      <c r="E19" s="6">
        <v>1</v>
      </c>
      <c r="F19" s="4">
        <v>5</v>
      </c>
      <c r="G19" s="6">
        <f t="shared" si="3"/>
        <v>941</v>
      </c>
      <c r="H19" t="str">
        <f t="shared" si="1"/>
        <v>Excellent</v>
      </c>
      <c r="I19" t="str">
        <f t="shared" si="4"/>
        <v>High Discount</v>
      </c>
    </row>
    <row r="20" spans="1:9" x14ac:dyDescent="0.35">
      <c r="A20" t="s">
        <v>21</v>
      </c>
      <c r="B20" s="6">
        <v>2999</v>
      </c>
      <c r="C20" s="6">
        <v>3699</v>
      </c>
      <c r="D20" s="1">
        <v>0.19</v>
      </c>
      <c r="E20" s="6">
        <v>5</v>
      </c>
      <c r="F20" s="4">
        <v>4.5999999999999996</v>
      </c>
      <c r="G20" s="6">
        <f t="shared" si="3"/>
        <v>700</v>
      </c>
      <c r="H20" t="str">
        <f t="shared" si="1"/>
        <v>Excellent</v>
      </c>
      <c r="I20" t="str">
        <f t="shared" si="4"/>
        <v>Low Discount</v>
      </c>
    </row>
    <row r="21" spans="1:9" x14ac:dyDescent="0.35">
      <c r="A21" t="s">
        <v>22</v>
      </c>
      <c r="B21" s="6">
        <v>998</v>
      </c>
      <c r="C21" s="6">
        <v>1966</v>
      </c>
      <c r="D21" s="1">
        <v>0.49</v>
      </c>
      <c r="E21" s="6">
        <v>44</v>
      </c>
      <c r="F21" s="4">
        <v>4.5999999999999996</v>
      </c>
      <c r="G21" s="6">
        <f t="shared" si="3"/>
        <v>968</v>
      </c>
      <c r="H21" t="str">
        <f t="shared" si="1"/>
        <v>Excellent</v>
      </c>
      <c r="I21" t="str">
        <f t="shared" si="4"/>
        <v>High Discount</v>
      </c>
    </row>
    <row r="22" spans="1:9" x14ac:dyDescent="0.35">
      <c r="A22" t="s">
        <v>23</v>
      </c>
      <c r="B22" s="6">
        <v>38</v>
      </c>
      <c r="C22" s="6">
        <v>80</v>
      </c>
      <c r="D22" s="1">
        <v>0.53</v>
      </c>
      <c r="E22" s="6">
        <v>13</v>
      </c>
      <c r="F22" s="4">
        <v>3.3</v>
      </c>
      <c r="G22" s="6">
        <f t="shared" si="3"/>
        <v>42</v>
      </c>
      <c r="H22" t="str">
        <f t="shared" si="1"/>
        <v>Average</v>
      </c>
      <c r="I22" t="str">
        <f t="shared" si="4"/>
        <v>High Discount</v>
      </c>
    </row>
    <row r="23" spans="1:9" x14ac:dyDescent="0.35">
      <c r="A23" t="s">
        <v>24</v>
      </c>
      <c r="B23" s="6">
        <v>1860</v>
      </c>
      <c r="C23" s="6">
        <v>3220</v>
      </c>
      <c r="D23" s="1">
        <v>0.42</v>
      </c>
      <c r="E23" s="6">
        <v>0</v>
      </c>
      <c r="F23" t="s">
        <v>112</v>
      </c>
      <c r="G23" s="6">
        <f t="shared" si="3"/>
        <v>1360</v>
      </c>
      <c r="H23" t="str">
        <f t="shared" si="1"/>
        <v>Not Rated</v>
      </c>
      <c r="I23" t="str">
        <f t="shared" si="4"/>
        <v>High Discount</v>
      </c>
    </row>
    <row r="24" spans="1:9" x14ac:dyDescent="0.35">
      <c r="A24" t="s">
        <v>25</v>
      </c>
      <c r="B24" s="6">
        <v>880</v>
      </c>
      <c r="C24" s="6">
        <v>1350</v>
      </c>
      <c r="D24" s="1">
        <v>0.35</v>
      </c>
      <c r="E24" s="6">
        <v>6</v>
      </c>
      <c r="F24" s="4">
        <v>4</v>
      </c>
      <c r="G24" s="6">
        <f t="shared" si="3"/>
        <v>470</v>
      </c>
      <c r="H24" t="str">
        <f t="shared" si="1"/>
        <v>Average</v>
      </c>
      <c r="I24" t="str">
        <f t="shared" si="4"/>
        <v>Medium Discount</v>
      </c>
    </row>
    <row r="25" spans="1:9" x14ac:dyDescent="0.35">
      <c r="A25" t="s">
        <v>26</v>
      </c>
      <c r="B25" s="6">
        <v>1650</v>
      </c>
      <c r="C25" s="6">
        <v>2150</v>
      </c>
      <c r="D25" s="1">
        <v>0.23</v>
      </c>
      <c r="E25" s="6">
        <v>14</v>
      </c>
      <c r="F25" s="4">
        <v>4.4000000000000004</v>
      </c>
      <c r="G25" s="6">
        <f t="shared" si="3"/>
        <v>500</v>
      </c>
      <c r="H25" t="str">
        <f t="shared" si="1"/>
        <v>Average</v>
      </c>
      <c r="I25" t="str">
        <f t="shared" si="4"/>
        <v>Medium Discount</v>
      </c>
    </row>
    <row r="26" spans="1:9" x14ac:dyDescent="0.35">
      <c r="A26" t="s">
        <v>27</v>
      </c>
      <c r="B26" s="6">
        <v>2048</v>
      </c>
      <c r="C26" s="6">
        <v>4500</v>
      </c>
      <c r="D26" s="1">
        <v>0.54</v>
      </c>
      <c r="E26" s="6">
        <v>7</v>
      </c>
      <c r="F26" s="4">
        <v>4.3</v>
      </c>
      <c r="G26" s="6">
        <f t="shared" si="3"/>
        <v>2452</v>
      </c>
      <c r="H26" t="str">
        <f t="shared" si="1"/>
        <v>Average</v>
      </c>
      <c r="I26" t="str">
        <f t="shared" si="4"/>
        <v>High Discount</v>
      </c>
    </row>
    <row r="27" spans="1:9" x14ac:dyDescent="0.35">
      <c r="A27" t="s">
        <v>28</v>
      </c>
      <c r="B27" s="6">
        <v>420</v>
      </c>
      <c r="C27" s="6">
        <v>647</v>
      </c>
      <c r="D27" s="1">
        <v>0.35</v>
      </c>
      <c r="E27" s="6">
        <v>49</v>
      </c>
      <c r="F27" s="4">
        <v>4.5999999999999996</v>
      </c>
      <c r="G27" s="6">
        <f t="shared" si="3"/>
        <v>227</v>
      </c>
      <c r="H27" t="str">
        <f t="shared" si="1"/>
        <v>Excellent</v>
      </c>
      <c r="I27" t="str">
        <f t="shared" si="4"/>
        <v>Medium Discount</v>
      </c>
    </row>
    <row r="28" spans="1:9" x14ac:dyDescent="0.35">
      <c r="A28" t="s">
        <v>29</v>
      </c>
      <c r="B28" s="6">
        <v>2880</v>
      </c>
      <c r="C28" s="6">
        <v>3520</v>
      </c>
      <c r="D28" s="1">
        <v>0.18</v>
      </c>
      <c r="E28" s="6">
        <v>12</v>
      </c>
      <c r="F28" s="4">
        <v>3.8</v>
      </c>
      <c r="G28" s="6">
        <f t="shared" si="3"/>
        <v>640</v>
      </c>
      <c r="H28" t="str">
        <f t="shared" si="1"/>
        <v>Average</v>
      </c>
      <c r="I28" t="str">
        <f t="shared" si="4"/>
        <v>Low Discount</v>
      </c>
    </row>
    <row r="29" spans="1:9" x14ac:dyDescent="0.35">
      <c r="A29" t="s">
        <v>30</v>
      </c>
      <c r="B29" s="6">
        <v>1350</v>
      </c>
      <c r="C29" s="6">
        <v>1990</v>
      </c>
      <c r="D29" s="1">
        <v>0.32</v>
      </c>
      <c r="E29" s="6">
        <v>13</v>
      </c>
      <c r="F29" s="4">
        <v>3.8</v>
      </c>
      <c r="G29" s="6">
        <f t="shared" si="3"/>
        <v>640</v>
      </c>
      <c r="H29" t="str">
        <f t="shared" si="1"/>
        <v>Average</v>
      </c>
      <c r="I29" t="str">
        <f t="shared" si="4"/>
        <v>Medium Discount</v>
      </c>
    </row>
    <row r="30" spans="1:9" x14ac:dyDescent="0.35">
      <c r="A30" t="s">
        <v>31</v>
      </c>
      <c r="B30" s="6">
        <v>1758</v>
      </c>
      <c r="C30" s="6">
        <v>2499</v>
      </c>
      <c r="D30" s="1">
        <v>0.3</v>
      </c>
      <c r="E30" s="6">
        <v>20</v>
      </c>
      <c r="F30" s="4">
        <v>4.0999999999999996</v>
      </c>
      <c r="G30" s="6">
        <f t="shared" si="3"/>
        <v>741</v>
      </c>
      <c r="H30" t="str">
        <f t="shared" si="1"/>
        <v>Average</v>
      </c>
      <c r="I30" t="str">
        <f t="shared" si="4"/>
        <v>Medium Discount</v>
      </c>
    </row>
    <row r="31" spans="1:9" x14ac:dyDescent="0.35">
      <c r="A31" t="s">
        <v>32</v>
      </c>
      <c r="B31" s="6">
        <v>2200</v>
      </c>
      <c r="C31" s="6">
        <v>4080</v>
      </c>
      <c r="D31" s="1">
        <v>0.46</v>
      </c>
      <c r="E31" s="6">
        <v>0</v>
      </c>
      <c r="F31" s="4" t="s">
        <v>112</v>
      </c>
      <c r="G31" s="6">
        <f t="shared" si="3"/>
        <v>1880</v>
      </c>
      <c r="H31" t="str">
        <f t="shared" si="1"/>
        <v>Not Rated</v>
      </c>
      <c r="I31" t="str">
        <f t="shared" si="4"/>
        <v>High Discount</v>
      </c>
    </row>
    <row r="32" spans="1:9" x14ac:dyDescent="0.35">
      <c r="A32" t="s">
        <v>33</v>
      </c>
      <c r="B32" s="6">
        <v>185</v>
      </c>
      <c r="C32" s="6">
        <v>382</v>
      </c>
      <c r="D32" s="1">
        <v>0.52</v>
      </c>
      <c r="E32" s="6">
        <v>9</v>
      </c>
      <c r="F32" s="4">
        <v>4.3</v>
      </c>
      <c r="G32" s="6">
        <f t="shared" si="3"/>
        <v>197</v>
      </c>
      <c r="H32" t="str">
        <f t="shared" si="1"/>
        <v>Average</v>
      </c>
      <c r="I32" t="str">
        <f t="shared" si="4"/>
        <v>High Discount</v>
      </c>
    </row>
    <row r="33" spans="1:9" x14ac:dyDescent="0.35">
      <c r="A33" t="s">
        <v>34</v>
      </c>
      <c r="B33" s="6">
        <v>980</v>
      </c>
      <c r="C33" s="6">
        <v>1490</v>
      </c>
      <c r="D33" s="1">
        <v>0.34</v>
      </c>
      <c r="E33" s="6">
        <v>12</v>
      </c>
      <c r="F33" s="4">
        <v>4.7</v>
      </c>
      <c r="G33" s="6">
        <f t="shared" si="3"/>
        <v>510</v>
      </c>
      <c r="H33" t="str">
        <f t="shared" si="1"/>
        <v>Excellent</v>
      </c>
      <c r="I33" t="str">
        <f t="shared" si="4"/>
        <v>Medium Discount</v>
      </c>
    </row>
    <row r="34" spans="1:9" x14ac:dyDescent="0.35">
      <c r="A34" t="s">
        <v>35</v>
      </c>
      <c r="B34" s="6">
        <v>1820</v>
      </c>
      <c r="C34" s="6">
        <v>3490</v>
      </c>
      <c r="D34" s="1">
        <v>0.48</v>
      </c>
      <c r="E34" s="6">
        <v>9</v>
      </c>
      <c r="F34" s="4">
        <v>4.3</v>
      </c>
      <c r="G34" s="6">
        <f t="shared" si="3"/>
        <v>1670</v>
      </c>
      <c r="H34" t="str">
        <f t="shared" si="1"/>
        <v>Average</v>
      </c>
      <c r="I34" t="str">
        <f t="shared" si="4"/>
        <v>High Discount</v>
      </c>
    </row>
    <row r="35" spans="1:9" x14ac:dyDescent="0.35">
      <c r="A35" t="s">
        <v>36</v>
      </c>
      <c r="B35" s="6">
        <v>1940</v>
      </c>
      <c r="C35" s="6">
        <v>2650</v>
      </c>
      <c r="D35" s="1">
        <v>0.27</v>
      </c>
      <c r="E35" s="6">
        <v>20</v>
      </c>
      <c r="F35" s="4">
        <v>4.7</v>
      </c>
      <c r="G35" s="6">
        <f t="shared" si="3"/>
        <v>710</v>
      </c>
      <c r="H35" t="str">
        <f t="shared" si="1"/>
        <v>Excellent</v>
      </c>
      <c r="I35" t="str">
        <f t="shared" si="4"/>
        <v>Medium Discount</v>
      </c>
    </row>
    <row r="36" spans="1:9" x14ac:dyDescent="0.35">
      <c r="A36" t="s">
        <v>37</v>
      </c>
      <c r="B36" s="6">
        <v>1980</v>
      </c>
      <c r="C36" s="6">
        <v>2699</v>
      </c>
      <c r="D36" s="1">
        <v>0.27</v>
      </c>
      <c r="E36" s="6">
        <v>32</v>
      </c>
      <c r="F36" s="4">
        <v>4.5</v>
      </c>
      <c r="G36" s="6">
        <f t="shared" si="3"/>
        <v>719</v>
      </c>
      <c r="H36" t="str">
        <f t="shared" si="1"/>
        <v>Excellent</v>
      </c>
      <c r="I36" t="str">
        <f t="shared" si="4"/>
        <v>Medium Discount</v>
      </c>
    </row>
    <row r="37" spans="1:9" x14ac:dyDescent="0.35">
      <c r="A37" t="s">
        <v>101</v>
      </c>
      <c r="B37" s="6">
        <v>3640</v>
      </c>
      <c r="C37" s="6">
        <v>4588</v>
      </c>
      <c r="D37" s="1">
        <v>0.21</v>
      </c>
      <c r="E37" s="6">
        <v>1</v>
      </c>
      <c r="F37" s="4">
        <v>5</v>
      </c>
      <c r="G37" s="6">
        <f t="shared" si="3"/>
        <v>948</v>
      </c>
      <c r="H37" t="str">
        <f t="shared" si="1"/>
        <v>Excellent</v>
      </c>
      <c r="I37" t="str">
        <f t="shared" si="4"/>
        <v>Medium Discount</v>
      </c>
    </row>
    <row r="38" spans="1:9" x14ac:dyDescent="0.35">
      <c r="A38" t="s">
        <v>7</v>
      </c>
      <c r="B38" s="6">
        <v>1740</v>
      </c>
      <c r="C38" s="6">
        <v>2356</v>
      </c>
      <c r="D38" s="1">
        <v>0.26</v>
      </c>
      <c r="E38" s="6">
        <v>5</v>
      </c>
      <c r="F38" s="4">
        <v>4.8</v>
      </c>
      <c r="G38" s="6">
        <f t="shared" ref="G38:G69" si="5">C38-B38</f>
        <v>616</v>
      </c>
      <c r="H38" t="str">
        <f t="shared" si="1"/>
        <v>Excellent</v>
      </c>
      <c r="I38" t="str">
        <f t="shared" ref="I38:I69" si="6">IF(D38&lt;20%,"Low Discount",IF(D38&lt;40%,"Medium Discount","High Discount"))</f>
        <v>Medium Discount</v>
      </c>
    </row>
    <row r="39" spans="1:9" x14ac:dyDescent="0.35">
      <c r="A39" t="s">
        <v>40</v>
      </c>
      <c r="B39" s="6">
        <v>389</v>
      </c>
      <c r="C39" s="6">
        <v>656</v>
      </c>
      <c r="D39" s="1">
        <v>0.41</v>
      </c>
      <c r="E39" s="6">
        <v>36</v>
      </c>
      <c r="F39" s="4">
        <v>4.3</v>
      </c>
      <c r="G39" s="6">
        <f t="shared" si="5"/>
        <v>267</v>
      </c>
      <c r="H39" t="str">
        <f t="shared" si="1"/>
        <v>Average</v>
      </c>
      <c r="I39" t="str">
        <f t="shared" si="6"/>
        <v>High Discount</v>
      </c>
    </row>
    <row r="40" spans="1:9" x14ac:dyDescent="0.35">
      <c r="A40" t="s">
        <v>41</v>
      </c>
      <c r="B40" s="6">
        <f>AVERAGE(1620,1980)</f>
        <v>1800</v>
      </c>
      <c r="C40" s="6">
        <f>AVERAGE(2200,3200)</f>
        <v>2700</v>
      </c>
      <c r="D40" s="1">
        <v>0.38</v>
      </c>
      <c r="E40" s="6">
        <v>2</v>
      </c>
      <c r="F40" s="4">
        <v>4.5</v>
      </c>
      <c r="G40" s="6">
        <f t="shared" si="5"/>
        <v>900</v>
      </c>
      <c r="H40" t="str">
        <f t="shared" si="1"/>
        <v>Excellent</v>
      </c>
      <c r="I40" t="str">
        <f t="shared" si="6"/>
        <v>Medium Discount</v>
      </c>
    </row>
    <row r="41" spans="1:9" x14ac:dyDescent="0.35">
      <c r="A41" t="s">
        <v>42</v>
      </c>
      <c r="B41" s="6">
        <v>2750</v>
      </c>
      <c r="C41" s="6">
        <v>4471</v>
      </c>
      <c r="D41" s="1">
        <v>0.38</v>
      </c>
      <c r="E41" s="6">
        <v>0</v>
      </c>
      <c r="F41" s="15" t="s">
        <v>112</v>
      </c>
      <c r="G41" s="6">
        <f t="shared" si="5"/>
        <v>1721</v>
      </c>
      <c r="H41" t="str">
        <f t="shared" si="1"/>
        <v>Not Rated</v>
      </c>
      <c r="I41" t="str">
        <f t="shared" si="6"/>
        <v>Medium Discount</v>
      </c>
    </row>
    <row r="42" spans="1:9" x14ac:dyDescent="0.35">
      <c r="A42" t="s">
        <v>43</v>
      </c>
      <c r="B42" s="6">
        <v>475</v>
      </c>
      <c r="C42" s="6">
        <v>931</v>
      </c>
      <c r="D42" s="1">
        <v>0.49</v>
      </c>
      <c r="E42" s="6">
        <v>0</v>
      </c>
      <c r="F42" s="4" t="s">
        <v>112</v>
      </c>
      <c r="G42" s="6">
        <f t="shared" si="5"/>
        <v>456</v>
      </c>
      <c r="H42" t="str">
        <f t="shared" si="1"/>
        <v>Not Rated</v>
      </c>
      <c r="I42" t="str">
        <f t="shared" si="6"/>
        <v>High Discount</v>
      </c>
    </row>
    <row r="43" spans="1:9" x14ac:dyDescent="0.35">
      <c r="A43" t="s">
        <v>44</v>
      </c>
      <c r="B43" s="6">
        <v>238</v>
      </c>
      <c r="C43" s="6">
        <v>476</v>
      </c>
      <c r="D43" s="1">
        <v>0.5</v>
      </c>
      <c r="E43" s="6">
        <v>0</v>
      </c>
      <c r="F43" s="4" t="s">
        <v>112</v>
      </c>
      <c r="G43" s="6">
        <f t="shared" si="5"/>
        <v>238</v>
      </c>
      <c r="H43" t="str">
        <f t="shared" si="1"/>
        <v>Not Rated</v>
      </c>
      <c r="I43" t="str">
        <f t="shared" si="6"/>
        <v>High Discount</v>
      </c>
    </row>
    <row r="44" spans="1:9" x14ac:dyDescent="0.35">
      <c r="A44" t="s">
        <v>45</v>
      </c>
      <c r="B44" s="6">
        <v>610</v>
      </c>
      <c r="C44" s="6">
        <v>1060</v>
      </c>
      <c r="D44" s="1">
        <v>0.42</v>
      </c>
      <c r="E44" s="6">
        <v>0</v>
      </c>
      <c r="F44" s="4" t="s">
        <v>112</v>
      </c>
      <c r="G44" s="6">
        <f t="shared" si="5"/>
        <v>450</v>
      </c>
      <c r="H44" t="str">
        <f t="shared" si="1"/>
        <v>Not Rated</v>
      </c>
      <c r="I44" t="str">
        <f t="shared" si="6"/>
        <v>High Discount</v>
      </c>
    </row>
    <row r="45" spans="1:9" x14ac:dyDescent="0.35">
      <c r="A45" t="s">
        <v>46</v>
      </c>
      <c r="B45" s="6">
        <v>2132</v>
      </c>
      <c r="C45" s="6">
        <v>2169</v>
      </c>
      <c r="D45" s="1">
        <v>0.02</v>
      </c>
      <c r="E45" s="6">
        <v>0</v>
      </c>
      <c r="F45" s="4" t="s">
        <v>112</v>
      </c>
      <c r="G45" s="6">
        <f t="shared" si="5"/>
        <v>37</v>
      </c>
      <c r="H45" t="str">
        <f t="shared" si="1"/>
        <v>Not Rated</v>
      </c>
      <c r="I45" t="str">
        <f t="shared" si="6"/>
        <v>Low Discount</v>
      </c>
    </row>
    <row r="46" spans="1:9" x14ac:dyDescent="0.35">
      <c r="A46" t="s">
        <v>47</v>
      </c>
      <c r="B46" s="6">
        <v>999</v>
      </c>
      <c r="C46" s="6">
        <v>2000</v>
      </c>
      <c r="D46" s="1">
        <v>0.5</v>
      </c>
      <c r="E46" s="6">
        <v>0</v>
      </c>
      <c r="F46" s="4" t="s">
        <v>112</v>
      </c>
      <c r="G46" s="6">
        <f t="shared" si="5"/>
        <v>1001</v>
      </c>
      <c r="H46" t="str">
        <f t="shared" si="1"/>
        <v>Not Rated</v>
      </c>
      <c r="I46" t="str">
        <f t="shared" si="6"/>
        <v>High Discount</v>
      </c>
    </row>
    <row r="47" spans="1:9" x14ac:dyDescent="0.35">
      <c r="A47" t="s">
        <v>48</v>
      </c>
      <c r="B47" s="6">
        <v>1190</v>
      </c>
      <c r="C47" s="6">
        <v>1785</v>
      </c>
      <c r="D47" s="1">
        <v>0.33</v>
      </c>
      <c r="E47" s="6">
        <v>0</v>
      </c>
      <c r="F47" s="4" t="s">
        <v>112</v>
      </c>
      <c r="G47" s="6">
        <f t="shared" si="5"/>
        <v>595</v>
      </c>
      <c r="H47" t="str">
        <f t="shared" si="1"/>
        <v>Not Rated</v>
      </c>
      <c r="I47" t="str">
        <f t="shared" si="6"/>
        <v>Medium Discount</v>
      </c>
    </row>
    <row r="48" spans="1:9" x14ac:dyDescent="0.35">
      <c r="A48" t="s">
        <v>49</v>
      </c>
      <c r="B48" s="6">
        <v>671</v>
      </c>
      <c r="C48" s="6">
        <v>1316</v>
      </c>
      <c r="D48" s="1">
        <v>0.49</v>
      </c>
      <c r="E48" s="6">
        <v>0</v>
      </c>
      <c r="F48" s="4" t="s">
        <v>112</v>
      </c>
      <c r="G48" s="6">
        <f t="shared" si="5"/>
        <v>645</v>
      </c>
      <c r="H48" t="str">
        <f t="shared" si="1"/>
        <v>Not Rated</v>
      </c>
      <c r="I48" t="str">
        <f t="shared" si="6"/>
        <v>High Discount</v>
      </c>
    </row>
    <row r="49" spans="1:9" x14ac:dyDescent="0.35">
      <c r="A49" t="s">
        <v>50</v>
      </c>
      <c r="B49" s="6">
        <v>1200</v>
      </c>
      <c r="C49" s="6">
        <v>1950</v>
      </c>
      <c r="D49" s="1">
        <v>0.38</v>
      </c>
      <c r="E49" s="6">
        <v>0</v>
      </c>
      <c r="F49" s="4" t="s">
        <v>112</v>
      </c>
      <c r="G49" s="6">
        <f t="shared" si="5"/>
        <v>750</v>
      </c>
      <c r="H49" t="str">
        <f t="shared" si="1"/>
        <v>Not Rated</v>
      </c>
      <c r="I49" t="str">
        <f t="shared" si="6"/>
        <v>Medium Discount</v>
      </c>
    </row>
    <row r="50" spans="1:9" x14ac:dyDescent="0.35">
      <c r="A50" t="s">
        <v>51</v>
      </c>
      <c r="B50" s="6">
        <v>199</v>
      </c>
      <c r="C50" s="6">
        <v>504</v>
      </c>
      <c r="D50" s="1">
        <v>0.61</v>
      </c>
      <c r="E50" s="6">
        <v>0</v>
      </c>
      <c r="F50" s="4" t="s">
        <v>112</v>
      </c>
      <c r="G50" s="6">
        <f t="shared" si="5"/>
        <v>305</v>
      </c>
      <c r="H50" t="str">
        <f t="shared" si="1"/>
        <v>Not Rated</v>
      </c>
      <c r="I50" t="str">
        <f t="shared" si="6"/>
        <v>High Discount</v>
      </c>
    </row>
    <row r="51" spans="1:9" x14ac:dyDescent="0.35">
      <c r="A51" t="s">
        <v>52</v>
      </c>
      <c r="B51" s="6">
        <v>299</v>
      </c>
      <c r="C51" s="6">
        <v>600</v>
      </c>
      <c r="D51" s="1">
        <v>0.5</v>
      </c>
      <c r="E51" s="6">
        <v>0</v>
      </c>
      <c r="F51" s="4" t="s">
        <v>112</v>
      </c>
      <c r="G51" s="6">
        <f t="shared" si="5"/>
        <v>301</v>
      </c>
      <c r="H51" t="str">
        <f t="shared" si="1"/>
        <v>Not Rated</v>
      </c>
      <c r="I51" t="str">
        <f t="shared" si="6"/>
        <v>High Discount</v>
      </c>
    </row>
    <row r="52" spans="1:9" x14ac:dyDescent="0.35">
      <c r="A52" t="s">
        <v>53</v>
      </c>
      <c r="B52" s="6">
        <v>1660</v>
      </c>
      <c r="C52" s="6">
        <v>1699</v>
      </c>
      <c r="D52" s="1">
        <v>0.02</v>
      </c>
      <c r="E52" s="6">
        <v>0</v>
      </c>
      <c r="F52" s="4" t="s">
        <v>112</v>
      </c>
      <c r="G52" s="6">
        <f t="shared" si="5"/>
        <v>39</v>
      </c>
      <c r="H52" t="str">
        <f t="shared" si="1"/>
        <v>Not Rated</v>
      </c>
      <c r="I52" t="str">
        <f t="shared" si="6"/>
        <v>Low Discount</v>
      </c>
    </row>
    <row r="53" spans="1:9" x14ac:dyDescent="0.35">
      <c r="A53" t="s">
        <v>54</v>
      </c>
      <c r="B53" s="6">
        <v>299</v>
      </c>
      <c r="C53" s="6">
        <v>384</v>
      </c>
      <c r="D53" s="1">
        <v>0.22</v>
      </c>
      <c r="E53" s="6">
        <v>0</v>
      </c>
      <c r="F53" s="4" t="s">
        <v>112</v>
      </c>
      <c r="G53" s="6">
        <f t="shared" si="5"/>
        <v>85</v>
      </c>
      <c r="H53" t="str">
        <f t="shared" si="1"/>
        <v>Not Rated</v>
      </c>
      <c r="I53" t="str">
        <f t="shared" si="6"/>
        <v>Medium Discount</v>
      </c>
    </row>
    <row r="54" spans="1:9" x14ac:dyDescent="0.35">
      <c r="A54" t="s">
        <v>55</v>
      </c>
      <c r="B54" s="6">
        <v>1459</v>
      </c>
      <c r="C54" s="6">
        <v>1499</v>
      </c>
      <c r="D54" s="1">
        <v>0.03</v>
      </c>
      <c r="E54" s="6">
        <v>0</v>
      </c>
      <c r="F54" s="4" t="s">
        <v>112</v>
      </c>
      <c r="G54" s="6">
        <f t="shared" si="5"/>
        <v>40</v>
      </c>
      <c r="H54" t="str">
        <f t="shared" si="1"/>
        <v>Not Rated</v>
      </c>
      <c r="I54" t="str">
        <f t="shared" si="6"/>
        <v>Low Discount</v>
      </c>
    </row>
    <row r="55" spans="1:9" x14ac:dyDescent="0.35">
      <c r="A55" t="s">
        <v>56</v>
      </c>
      <c r="B55" s="6">
        <v>799</v>
      </c>
      <c r="C55" s="6">
        <v>1343</v>
      </c>
      <c r="D55" s="1">
        <v>0.41</v>
      </c>
      <c r="E55" s="6">
        <v>0</v>
      </c>
      <c r="F55" s="4" t="s">
        <v>112</v>
      </c>
      <c r="G55" s="6">
        <f t="shared" si="5"/>
        <v>544</v>
      </c>
      <c r="H55" t="str">
        <f t="shared" si="1"/>
        <v>Not Rated</v>
      </c>
      <c r="I55" t="str">
        <f t="shared" si="6"/>
        <v>High Discount</v>
      </c>
    </row>
    <row r="56" spans="1:9" x14ac:dyDescent="0.35">
      <c r="A56" t="s">
        <v>57</v>
      </c>
      <c r="B56" s="6">
        <v>499</v>
      </c>
      <c r="C56" s="6">
        <v>900</v>
      </c>
      <c r="D56" s="1">
        <v>0.45</v>
      </c>
      <c r="E56" s="6">
        <v>0</v>
      </c>
      <c r="F56" s="4" t="s">
        <v>112</v>
      </c>
      <c r="G56" s="6">
        <f t="shared" si="5"/>
        <v>401</v>
      </c>
      <c r="H56" t="str">
        <f t="shared" si="1"/>
        <v>Not Rated</v>
      </c>
      <c r="I56" t="str">
        <f t="shared" si="6"/>
        <v>High Discount</v>
      </c>
    </row>
    <row r="57" spans="1:9" x14ac:dyDescent="0.35">
      <c r="A57" t="s">
        <v>58</v>
      </c>
      <c r="B57" s="6">
        <v>699</v>
      </c>
      <c r="C57" s="6">
        <v>1343</v>
      </c>
      <c r="D57" s="1">
        <v>0.48</v>
      </c>
      <c r="E57" s="6">
        <v>0</v>
      </c>
      <c r="F57" s="4" t="s">
        <v>112</v>
      </c>
      <c r="G57" s="6">
        <f t="shared" si="5"/>
        <v>644</v>
      </c>
      <c r="H57" t="str">
        <f t="shared" si="1"/>
        <v>Not Rated</v>
      </c>
      <c r="I57" t="str">
        <f t="shared" si="6"/>
        <v>High Discount</v>
      </c>
    </row>
    <row r="58" spans="1:9" x14ac:dyDescent="0.35">
      <c r="A58" t="s">
        <v>59</v>
      </c>
      <c r="B58" s="6">
        <v>799</v>
      </c>
      <c r="C58" s="6">
        <v>1567</v>
      </c>
      <c r="D58" s="1">
        <v>0.49</v>
      </c>
      <c r="E58" s="6">
        <v>0</v>
      </c>
      <c r="F58" s="4" t="s">
        <v>112</v>
      </c>
      <c r="G58" s="6">
        <f t="shared" si="5"/>
        <v>768</v>
      </c>
      <c r="H58" t="str">
        <f t="shared" si="1"/>
        <v>Not Rated</v>
      </c>
      <c r="I58" t="str">
        <f t="shared" si="6"/>
        <v>High Discount</v>
      </c>
    </row>
    <row r="59" spans="1:9" x14ac:dyDescent="0.35">
      <c r="A59" t="s">
        <v>60</v>
      </c>
      <c r="B59" s="6">
        <v>2799</v>
      </c>
      <c r="C59" s="6">
        <v>3810</v>
      </c>
      <c r="D59" s="1">
        <v>0.27</v>
      </c>
      <c r="E59" s="6">
        <v>0</v>
      </c>
      <c r="F59" s="4" t="s">
        <v>112</v>
      </c>
      <c r="G59" s="6">
        <f t="shared" si="5"/>
        <v>1011</v>
      </c>
      <c r="H59" t="str">
        <f t="shared" si="1"/>
        <v>Not Rated</v>
      </c>
      <c r="I59" t="str">
        <f t="shared" si="6"/>
        <v>Medium Discount</v>
      </c>
    </row>
    <row r="60" spans="1:9" x14ac:dyDescent="0.35">
      <c r="A60" t="s">
        <v>57</v>
      </c>
      <c r="B60" s="6">
        <v>399</v>
      </c>
      <c r="C60" s="6">
        <v>896</v>
      </c>
      <c r="D60" s="1">
        <v>0.55000000000000004</v>
      </c>
      <c r="E60" s="6">
        <v>0</v>
      </c>
      <c r="F60" t="s">
        <v>112</v>
      </c>
      <c r="G60" s="6">
        <f t="shared" si="5"/>
        <v>497</v>
      </c>
      <c r="H60" t="str">
        <f t="shared" si="1"/>
        <v>Not Rated</v>
      </c>
      <c r="I60" t="str">
        <f t="shared" si="6"/>
        <v>High Discount</v>
      </c>
    </row>
    <row r="61" spans="1:9" x14ac:dyDescent="0.35">
      <c r="A61" t="s">
        <v>61</v>
      </c>
      <c r="B61" s="6">
        <v>2170</v>
      </c>
      <c r="C61" s="6">
        <v>2500</v>
      </c>
      <c r="D61" s="1">
        <v>0.13</v>
      </c>
      <c r="E61" s="6">
        <v>6</v>
      </c>
      <c r="F61" s="4">
        <v>2.5</v>
      </c>
      <c r="G61" s="6">
        <f t="shared" si="5"/>
        <v>330</v>
      </c>
      <c r="H61" t="str">
        <f t="shared" si="1"/>
        <v>Poor</v>
      </c>
      <c r="I61" t="str">
        <f t="shared" si="6"/>
        <v>Low Discount</v>
      </c>
    </row>
    <row r="62" spans="1:9" x14ac:dyDescent="0.35">
      <c r="A62" t="s">
        <v>62</v>
      </c>
      <c r="B62" s="6">
        <v>458</v>
      </c>
      <c r="C62" s="6">
        <v>986</v>
      </c>
      <c r="D62" s="1">
        <v>0.54</v>
      </c>
      <c r="E62" s="6">
        <v>10</v>
      </c>
      <c r="F62" s="4">
        <v>3</v>
      </c>
      <c r="G62" s="6">
        <f t="shared" si="5"/>
        <v>528</v>
      </c>
      <c r="H62" t="str">
        <f t="shared" si="1"/>
        <v>Average</v>
      </c>
      <c r="I62" t="str">
        <f t="shared" si="6"/>
        <v>High Discount</v>
      </c>
    </row>
    <row r="63" spans="1:9" x14ac:dyDescent="0.35">
      <c r="A63" t="s">
        <v>67</v>
      </c>
      <c r="B63" s="6">
        <v>990</v>
      </c>
      <c r="C63" s="6">
        <v>1814</v>
      </c>
      <c r="D63" s="1">
        <v>0.45</v>
      </c>
      <c r="E63" s="6">
        <v>6</v>
      </c>
      <c r="F63" s="4">
        <v>2.2000000000000002</v>
      </c>
      <c r="G63" s="6">
        <f>C63-B63</f>
        <v>824</v>
      </c>
      <c r="H63" t="str">
        <f>IF(F63&lt;3,"Poor",IF(F63&lt;4.5,"Average",IF(F63&lt;=5,"Excellent","Not Rated")))</f>
        <v>Poor</v>
      </c>
      <c r="I63" t="str">
        <f>IF(D63&lt;20%,"Low Discount",IF(D63&lt;40%,"Medium Discount","High Discount"))</f>
        <v>High Discount</v>
      </c>
    </row>
    <row r="64" spans="1:9" x14ac:dyDescent="0.35">
      <c r="A64" t="s">
        <v>64</v>
      </c>
      <c r="B64" s="6">
        <v>445</v>
      </c>
      <c r="C64" s="6">
        <v>873</v>
      </c>
      <c r="D64" s="1">
        <v>0.49</v>
      </c>
      <c r="E64" s="6">
        <v>69</v>
      </c>
      <c r="F64" s="4">
        <v>2.8</v>
      </c>
      <c r="G64" s="6">
        <f>C64-B64</f>
        <v>428</v>
      </c>
      <c r="H64" t="str">
        <f>IF(F64&lt;3,"Poor",IF(F64&lt;4.5,"Average",IF(F64&lt;=5,"Excellent","Not Rated")))</f>
        <v>Poor</v>
      </c>
      <c r="I64" t="str">
        <f>IF(D64&lt;20%,"Low Discount",IF(D64&lt;40%,"Medium Discount","High Discount"))</f>
        <v>High Discount</v>
      </c>
    </row>
    <row r="65" spans="1:9" x14ac:dyDescent="0.35">
      <c r="A65" t="s">
        <v>65</v>
      </c>
      <c r="B65" s="6">
        <v>325</v>
      </c>
      <c r="C65" s="6">
        <v>680</v>
      </c>
      <c r="D65" s="1">
        <v>0.52</v>
      </c>
      <c r="E65" s="6">
        <v>15</v>
      </c>
      <c r="F65" s="4">
        <v>2.7</v>
      </c>
      <c r="G65" s="6">
        <f>C65-B65</f>
        <v>355</v>
      </c>
      <c r="H65" t="str">
        <f>IF(F65&lt;3,"Poor",IF(F65&lt;4.5,"Average",IF(F65&lt;=5,"Excellent","Not Rated")))</f>
        <v>Poor</v>
      </c>
      <c r="I65" t="str">
        <f>IF(D65&lt;20%,"Low Discount",IF(D65&lt;40%,"Medium Discount","High Discount"))</f>
        <v>High Discount</v>
      </c>
    </row>
    <row r="66" spans="1:9" x14ac:dyDescent="0.35">
      <c r="A66" t="s">
        <v>66</v>
      </c>
      <c r="B66" s="6">
        <v>1220</v>
      </c>
      <c r="C66" s="6">
        <v>1555</v>
      </c>
      <c r="D66" s="1">
        <v>0.22</v>
      </c>
      <c r="E66" s="6">
        <v>16</v>
      </c>
      <c r="F66" s="4">
        <v>2.9</v>
      </c>
      <c r="G66" s="6">
        <f>C66-B66</f>
        <v>335</v>
      </c>
      <c r="H66" t="str">
        <f>IF(F66&lt;3,"Poor",IF(F66&lt;4.5,"Average",IF(F66&lt;=5,"Excellent","Not Rated")))</f>
        <v>Poor</v>
      </c>
      <c r="I66" t="str">
        <f>IF(D66&lt;20%,"Low Discount",IF(D66&lt;40%,"Medium Discount","High Discount"))</f>
        <v>Medium Discount</v>
      </c>
    </row>
    <row r="67" spans="1:9" x14ac:dyDescent="0.35">
      <c r="A67" t="s">
        <v>74</v>
      </c>
      <c r="B67" s="6">
        <v>968</v>
      </c>
      <c r="C67" s="6">
        <v>1814</v>
      </c>
      <c r="D67" s="1">
        <v>0.47</v>
      </c>
      <c r="E67" s="6">
        <v>6</v>
      </c>
      <c r="F67" s="4">
        <v>2.2000000000000002</v>
      </c>
      <c r="G67" s="6">
        <f>C67-B67</f>
        <v>846</v>
      </c>
      <c r="H67" t="str">
        <f>IF(F67&lt;3,"Poor",IF(F67&lt;4.5,"Average",IF(F67&lt;=5,"Excellent","Not Rated")))</f>
        <v>Poor</v>
      </c>
      <c r="I67" t="str">
        <f>IF(D67&lt;20%,"Low Discount",IF(D67&lt;40%,"Medium Discount","High Discount"))</f>
        <v>High Discount</v>
      </c>
    </row>
    <row r="68" spans="1:9" x14ac:dyDescent="0.35">
      <c r="A68" t="s">
        <v>68</v>
      </c>
      <c r="B68" s="6">
        <v>1000</v>
      </c>
      <c r="C68" s="6">
        <v>2000</v>
      </c>
      <c r="D68" s="1">
        <v>0.5</v>
      </c>
      <c r="E68" s="6">
        <v>7</v>
      </c>
      <c r="F68" s="4">
        <v>2.2999999999999998</v>
      </c>
      <c r="G68" s="6">
        <f>C68-B68</f>
        <v>1000</v>
      </c>
      <c r="H68" t="str">
        <f>IF(F68&lt;3,"Poor",IF(F68&lt;4.5,"Average",IF(F68&lt;=5,"Excellent","Not Rated")))</f>
        <v>Poor</v>
      </c>
      <c r="I68" t="str">
        <f>IF(D68&lt;20%,"Low Discount",IF(D68&lt;40%,"Medium Discount","High Discount"))</f>
        <v>High Discount</v>
      </c>
    </row>
    <row r="69" spans="1:9" x14ac:dyDescent="0.35">
      <c r="A69" t="s">
        <v>69</v>
      </c>
      <c r="B69" s="6">
        <v>3750</v>
      </c>
      <c r="C69" s="6">
        <v>6143</v>
      </c>
      <c r="D69" s="1">
        <v>0.39</v>
      </c>
      <c r="E69" s="6">
        <v>5</v>
      </c>
      <c r="F69" s="4">
        <v>3</v>
      </c>
      <c r="G69" s="6">
        <f>C69-B69</f>
        <v>2393</v>
      </c>
      <c r="H69" t="str">
        <f>IF(F69&lt;3,"Poor",IF(F69&lt;4.5,"Average",IF(F69&lt;=5,"Excellent","Not Rated")))</f>
        <v>Average</v>
      </c>
      <c r="I69" t="str">
        <f>IF(D69&lt;20%,"Low Discount",IF(D69&lt;40%,"Medium Discount","High Discount"))</f>
        <v>Medium Discount</v>
      </c>
    </row>
    <row r="70" spans="1:9" x14ac:dyDescent="0.35">
      <c r="A70" t="s">
        <v>70</v>
      </c>
      <c r="B70" s="6">
        <v>382</v>
      </c>
      <c r="C70" s="6">
        <v>700</v>
      </c>
      <c r="D70" s="1">
        <v>0.45</v>
      </c>
      <c r="E70" s="6">
        <v>17</v>
      </c>
      <c r="F70" s="4">
        <v>2.6</v>
      </c>
      <c r="G70" s="6">
        <f>C70-B70</f>
        <v>318</v>
      </c>
      <c r="H70" t="str">
        <f>IF(F70&lt;3,"Poor",IF(F70&lt;4.5,"Average",IF(F70&lt;=5,"Excellent","Not Rated")))</f>
        <v>Poor</v>
      </c>
      <c r="I70" t="str">
        <f>IF(D70&lt;20%,"Low Discount",IF(D70&lt;40%,"Medium Discount","High Discount"))</f>
        <v>High Discount</v>
      </c>
    </row>
    <row r="71" spans="1:9" x14ac:dyDescent="0.35">
      <c r="A71" t="s">
        <v>71</v>
      </c>
      <c r="B71" s="6">
        <v>2300</v>
      </c>
      <c r="C71" s="6">
        <v>3240</v>
      </c>
      <c r="D71" s="1">
        <v>0.28999999999999998</v>
      </c>
      <c r="E71" s="6">
        <v>5</v>
      </c>
      <c r="F71" s="4">
        <v>3</v>
      </c>
      <c r="G71" s="6">
        <f>C71-B71</f>
        <v>940</v>
      </c>
      <c r="H71" t="str">
        <f>IF(F71&lt;3,"Poor",IF(F71&lt;4.5,"Average",IF(F71&lt;=5,"Excellent","Not Rated")))</f>
        <v>Average</v>
      </c>
      <c r="I71" t="str">
        <f>IF(D71&lt;20%,"Low Discount",IF(D71&lt;40%,"Medium Discount","High Discount"))</f>
        <v>Medium Discount</v>
      </c>
    </row>
    <row r="72" spans="1:9" x14ac:dyDescent="0.35">
      <c r="A72" t="s">
        <v>72</v>
      </c>
      <c r="B72" s="6">
        <v>345</v>
      </c>
      <c r="C72" s="6">
        <v>602</v>
      </c>
      <c r="D72" s="1">
        <v>0.43</v>
      </c>
      <c r="E72" s="6">
        <v>6</v>
      </c>
      <c r="F72" s="4">
        <v>2.2999999999999998</v>
      </c>
      <c r="G72" s="6">
        <f>C72-B72</f>
        <v>257</v>
      </c>
      <c r="H72" t="str">
        <f>IF(F72&lt;3,"Poor",IF(F72&lt;4.5,"Average",IF(F72&lt;=5,"Excellent","Not Rated")))</f>
        <v>Poor</v>
      </c>
      <c r="I72" t="str">
        <f>IF(D72&lt;20%,"Low Discount",IF(D72&lt;40%,"Medium Discount","High Discount"))</f>
        <v>High Discount</v>
      </c>
    </row>
    <row r="73" spans="1:9" x14ac:dyDescent="0.35">
      <c r="A73" t="s">
        <v>73</v>
      </c>
      <c r="B73" s="6">
        <v>509</v>
      </c>
      <c r="C73" s="6">
        <v>899</v>
      </c>
      <c r="D73" s="1">
        <v>0.43</v>
      </c>
      <c r="E73" s="6">
        <v>5</v>
      </c>
      <c r="F73" s="4">
        <v>3</v>
      </c>
      <c r="G73" s="6">
        <f>C73-B73</f>
        <v>390</v>
      </c>
      <c r="H73" t="str">
        <f>IF(F73&lt;3,"Poor",IF(F73&lt;4.5,"Average",IF(F73&lt;=5,"Excellent","Not Rated")))</f>
        <v>Average</v>
      </c>
      <c r="I73" t="str">
        <f>IF(D73&lt;20%,"Low Discount",IF(D73&lt;40%,"Medium Discount","High Discount"))</f>
        <v>High Discount</v>
      </c>
    </row>
    <row r="74" spans="1:9" x14ac:dyDescent="0.35">
      <c r="A74" t="s">
        <v>63</v>
      </c>
      <c r="B74" s="6">
        <v>2115</v>
      </c>
      <c r="C74" s="6">
        <v>4700</v>
      </c>
      <c r="D74" s="1">
        <v>0.55000000000000004</v>
      </c>
      <c r="E74" s="6">
        <v>13</v>
      </c>
      <c r="F74" s="4">
        <v>2.1</v>
      </c>
      <c r="G74" s="6">
        <f>C74-B74</f>
        <v>2585</v>
      </c>
      <c r="H74" t="str">
        <f>IF(F74&lt;3,"Poor",IF(F74&lt;4.5,"Average",IF(F74&lt;=5,"Excellent","Not Rated")))</f>
        <v>Poor</v>
      </c>
      <c r="I74" t="str">
        <f>IF(D74&lt;20%,"Low Discount",IF(D74&lt;40%,"Medium Discount","High Discount"))</f>
        <v>High Discount</v>
      </c>
    </row>
    <row r="75" spans="1:9" x14ac:dyDescent="0.35">
      <c r="A75" t="s">
        <v>75</v>
      </c>
      <c r="B75" s="6">
        <v>1570</v>
      </c>
      <c r="C75" s="6">
        <v>2988</v>
      </c>
      <c r="D75" s="1">
        <v>0.47</v>
      </c>
      <c r="E75" s="6">
        <v>7</v>
      </c>
      <c r="F75" s="4">
        <v>2.1</v>
      </c>
      <c r="G75" s="6">
        <f>C75-B75</f>
        <v>1418</v>
      </c>
      <c r="H75" t="str">
        <f>IF(F75&lt;3,"Poor",IF(F75&lt;4.5,"Average",IF(F75&lt;=5,"Excellent","Not Rated")))</f>
        <v>Poor</v>
      </c>
      <c r="I75" t="str">
        <f>IF(D75&lt;20%,"Low Discount",IF(D75&lt;40%,"Medium Discount","High Discount"))</f>
        <v>High Discount</v>
      </c>
    </row>
    <row r="76" spans="1:9" x14ac:dyDescent="0.35">
      <c r="A76" t="s">
        <v>76</v>
      </c>
      <c r="B76" s="6">
        <v>790</v>
      </c>
      <c r="C76" s="6">
        <v>1485</v>
      </c>
      <c r="D76" s="1">
        <v>0.47</v>
      </c>
      <c r="E76" s="6">
        <v>0</v>
      </c>
      <c r="F76" s="4" t="s">
        <v>112</v>
      </c>
      <c r="G76" s="6">
        <f>C76-B76</f>
        <v>695</v>
      </c>
      <c r="H76" t="str">
        <f>IF(F76&lt;3,"Poor",IF(F76&lt;4.5,"Average",IF(F76&lt;=5,"Excellent","Not Rated")))</f>
        <v>Not Rated</v>
      </c>
      <c r="I76" t="str">
        <f>IF(D76&lt;20%,"Low Discount",IF(D76&lt;40%,"Medium Discount","High Discount"))</f>
        <v>High Discount</v>
      </c>
    </row>
    <row r="77" spans="1:9" x14ac:dyDescent="0.35">
      <c r="A77" t="s">
        <v>77</v>
      </c>
      <c r="B77" s="6">
        <v>690</v>
      </c>
      <c r="C77" s="6">
        <v>1200</v>
      </c>
      <c r="D77" s="1">
        <v>0.43</v>
      </c>
      <c r="E77" s="6">
        <v>0</v>
      </c>
      <c r="F77" s="4" t="s">
        <v>112</v>
      </c>
      <c r="G77" s="6">
        <f>C77-B77</f>
        <v>510</v>
      </c>
      <c r="H77" t="str">
        <f>IF(F77&lt;3,"Poor",IF(F77&lt;4.5,"Average",IF(F77&lt;=5,"Excellent","Not Rated")))</f>
        <v>Not Rated</v>
      </c>
      <c r="I77" t="str">
        <f>IF(D77&lt;20%,"Low Discount",IF(D77&lt;40%,"Medium Discount","High Discount"))</f>
        <v>High Discount</v>
      </c>
    </row>
    <row r="78" spans="1:9" x14ac:dyDescent="0.35">
      <c r="A78" t="s">
        <v>78</v>
      </c>
      <c r="B78" s="6">
        <v>1732</v>
      </c>
      <c r="C78" s="6">
        <v>1799</v>
      </c>
      <c r="D78" s="1">
        <v>0.04</v>
      </c>
      <c r="E78" s="6">
        <v>0</v>
      </c>
      <c r="F78" s="4" t="s">
        <v>112</v>
      </c>
      <c r="G78" s="6">
        <f>C78-B78</f>
        <v>67</v>
      </c>
      <c r="H78" t="str">
        <f>IF(F78&lt;3,"Poor",IF(F78&lt;4.5,"Average",IF(F78&lt;=5,"Excellent","Not Rated")))</f>
        <v>Not Rated</v>
      </c>
      <c r="I78" t="str">
        <f>IF(D78&lt;20%,"Low Discount",IF(D78&lt;40%,"Medium Discount","High Discount"))</f>
        <v>Low Discount</v>
      </c>
    </row>
    <row r="79" spans="1:9" x14ac:dyDescent="0.35">
      <c r="A79" t="s">
        <v>79</v>
      </c>
      <c r="B79" s="6">
        <v>230</v>
      </c>
      <c r="C79" s="6">
        <v>450</v>
      </c>
      <c r="D79" s="1">
        <v>0.49</v>
      </c>
      <c r="E79" s="6">
        <v>0</v>
      </c>
      <c r="F79" s="4" t="s">
        <v>112</v>
      </c>
      <c r="G79" s="6">
        <f>C79-B79</f>
        <v>220</v>
      </c>
      <c r="H79" t="str">
        <f>IF(F79&lt;3,"Poor",IF(F79&lt;4.5,"Average",IF(F79&lt;=5,"Excellent","Not Rated")))</f>
        <v>Not Rated</v>
      </c>
      <c r="I79" t="str">
        <f>IF(D79&lt;20%,"Low Discount",IF(D79&lt;40%,"Medium Discount","High Discount"))</f>
        <v>High Discount</v>
      </c>
    </row>
    <row r="80" spans="1:9" x14ac:dyDescent="0.35">
      <c r="A80" t="s">
        <v>80</v>
      </c>
      <c r="B80" s="6">
        <v>1189</v>
      </c>
      <c r="C80" s="6">
        <v>2199</v>
      </c>
      <c r="D80" s="1">
        <v>0.46</v>
      </c>
      <c r="E80" s="6">
        <v>1</v>
      </c>
      <c r="F80" s="4">
        <v>3</v>
      </c>
      <c r="G80" s="6">
        <f>C80-B80</f>
        <v>1010</v>
      </c>
      <c r="H80" t="str">
        <f>IF(F80&lt;3,"Poor",IF(F80&lt;4.5,"Average",IF(F80&lt;=5,"Excellent","Not Rated")))</f>
        <v>Average</v>
      </c>
      <c r="I80" t="str">
        <f>IF(D80&lt;20%,"Low Discount",IF(D80&lt;40%,"Medium Discount","High Discount"))</f>
        <v>High Discount</v>
      </c>
    </row>
    <row r="81" spans="1:9" x14ac:dyDescent="0.35">
      <c r="A81" t="s">
        <v>11</v>
      </c>
      <c r="B81" s="6">
        <v>1274</v>
      </c>
      <c r="C81" s="6">
        <v>2800</v>
      </c>
      <c r="D81" s="1">
        <v>0.55000000000000004</v>
      </c>
      <c r="E81" s="6">
        <v>5</v>
      </c>
      <c r="F81" s="4">
        <v>4.8</v>
      </c>
      <c r="G81" s="6">
        <f>C81-B81</f>
        <v>1526</v>
      </c>
      <c r="H81" t="str">
        <f>IF(F81&lt;3,"Poor",IF(F81&lt;4.5,"Average",IF(F81&lt;=5,"Excellent","Not Rated")))</f>
        <v>Excellent</v>
      </c>
      <c r="I81" t="str">
        <f>IF(D81&lt;20%,"Low Discount",IF(D81&lt;40%,"Medium Discount","High Discount"))</f>
        <v>High Discount</v>
      </c>
    </row>
    <row r="82" spans="1:9" x14ac:dyDescent="0.35">
      <c r="A82" t="s">
        <v>82</v>
      </c>
      <c r="B82" s="6">
        <v>1460</v>
      </c>
      <c r="C82" s="6">
        <v>2290</v>
      </c>
      <c r="D82" s="1">
        <v>0.36</v>
      </c>
      <c r="E82" s="6">
        <v>0</v>
      </c>
      <c r="F82" s="4" t="s">
        <v>112</v>
      </c>
      <c r="G82" s="6">
        <f>C82-B82</f>
        <v>830</v>
      </c>
      <c r="H82" t="str">
        <f>IF(F82&lt;3,"Poor",IF(F82&lt;4.5,"Average",IF(F82&lt;=5,"Excellent","Not Rated")))</f>
        <v>Not Rated</v>
      </c>
      <c r="I82" t="str">
        <f>IF(D82&lt;20%,"Low Discount",IF(D82&lt;40%,"Medium Discount","High Discount"))</f>
        <v>Medium Discount</v>
      </c>
    </row>
    <row r="83" spans="1:9" x14ac:dyDescent="0.35">
      <c r="A83" t="s">
        <v>83</v>
      </c>
      <c r="B83" s="6">
        <v>1666</v>
      </c>
      <c r="C83" s="6">
        <v>1699</v>
      </c>
      <c r="D83" s="1">
        <v>0.02</v>
      </c>
      <c r="E83" s="6">
        <v>0</v>
      </c>
      <c r="F83" s="4" t="s">
        <v>112</v>
      </c>
      <c r="G83" s="6">
        <f>C83-B83</f>
        <v>33</v>
      </c>
      <c r="H83" t="str">
        <f>IF(F83&lt;3,"Poor",IF(F83&lt;4.5,"Average",IF(F83&lt;=5,"Excellent","Not Rated")))</f>
        <v>Not Rated</v>
      </c>
      <c r="I83" t="str">
        <f>IF(D83&lt;20%,"Low Discount",IF(D83&lt;40%,"Medium Discount","High Discount"))</f>
        <v>Low Discount</v>
      </c>
    </row>
    <row r="84" spans="1:9" x14ac:dyDescent="0.35">
      <c r="A84" t="s">
        <v>84</v>
      </c>
      <c r="B84" s="6">
        <v>330</v>
      </c>
      <c r="C84" s="6">
        <v>647</v>
      </c>
      <c r="D84" s="1">
        <v>0.49</v>
      </c>
      <c r="E84" s="6">
        <v>1</v>
      </c>
      <c r="F84" s="4">
        <v>4</v>
      </c>
      <c r="G84" s="6">
        <f>C84-B84</f>
        <v>317</v>
      </c>
      <c r="H84" t="str">
        <f>IF(F84&lt;3,"Poor",IF(F84&lt;4.5,"Average",IF(F84&lt;=5,"Excellent","Not Rated")))</f>
        <v>Average</v>
      </c>
      <c r="I84" t="str">
        <f>IF(D84&lt;20%,"Low Discount",IF(D84&lt;40%,"Medium Discount","High Discount"))</f>
        <v>High Discount</v>
      </c>
    </row>
    <row r="85" spans="1:9" x14ac:dyDescent="0.35">
      <c r="A85" t="s">
        <v>51</v>
      </c>
      <c r="B85" s="6">
        <v>176</v>
      </c>
      <c r="C85" s="6">
        <v>345</v>
      </c>
      <c r="D85" s="1">
        <v>0.49</v>
      </c>
      <c r="E85" s="6">
        <v>0</v>
      </c>
      <c r="F85" s="4" t="s">
        <v>112</v>
      </c>
      <c r="G85" s="6">
        <f>C85-B85</f>
        <v>169</v>
      </c>
      <c r="H85" t="str">
        <f>IF(F85&lt;3,"Poor",IF(F85&lt;4.5,"Average",IF(F85&lt;=5,"Excellent","Not Rated")))</f>
        <v>Not Rated</v>
      </c>
      <c r="I85" t="str">
        <f>IF(D85&lt;20%,"Low Discount",IF(D85&lt;40%,"Medium Discount","High Discount"))</f>
        <v>High Discount</v>
      </c>
    </row>
    <row r="86" spans="1:9" x14ac:dyDescent="0.35">
      <c r="A86" t="s">
        <v>85</v>
      </c>
      <c r="B86" s="6">
        <v>1466</v>
      </c>
      <c r="C86" s="6">
        <v>1699</v>
      </c>
      <c r="D86" s="1">
        <v>0.14000000000000001</v>
      </c>
      <c r="E86" s="6">
        <v>0</v>
      </c>
      <c r="F86" s="4" t="s">
        <v>112</v>
      </c>
      <c r="G86" s="6">
        <f>C86-B86</f>
        <v>233</v>
      </c>
      <c r="H86" t="str">
        <f>IF(F86&lt;3,"Poor",IF(F86&lt;4.5,"Average",IF(F86&lt;=5,"Excellent","Not Rated")))</f>
        <v>Not Rated</v>
      </c>
      <c r="I86" t="str">
        <f>IF(D86&lt;20%,"Low Discount",IF(D86&lt;40%,"Medium Discount","High Discount"))</f>
        <v>Low Discount</v>
      </c>
    </row>
    <row r="87" spans="1:9" x14ac:dyDescent="0.35">
      <c r="A87" t="s">
        <v>86</v>
      </c>
      <c r="B87" s="6">
        <v>274</v>
      </c>
      <c r="C87" s="6">
        <v>537</v>
      </c>
      <c r="D87" s="1">
        <v>0.49</v>
      </c>
      <c r="E87" s="6">
        <v>0</v>
      </c>
      <c r="F87" s="4" t="s">
        <v>112</v>
      </c>
      <c r="G87" s="6">
        <f>C87-B87</f>
        <v>263</v>
      </c>
      <c r="H87" t="str">
        <f>IF(F87&lt;3,"Poor",IF(F87&lt;4.5,"Average",IF(F87&lt;=5,"Excellent","Not Rated")))</f>
        <v>Not Rated</v>
      </c>
      <c r="I87" t="str">
        <f>IF(D87&lt;20%,"Low Discount",IF(D87&lt;40%,"Medium Discount","High Discount"))</f>
        <v>High Discount</v>
      </c>
    </row>
    <row r="88" spans="1:9" x14ac:dyDescent="0.35">
      <c r="A88" t="s">
        <v>87</v>
      </c>
      <c r="B88" s="6">
        <v>799</v>
      </c>
      <c r="C88" s="6">
        <v>900</v>
      </c>
      <c r="D88" s="1">
        <v>0.11</v>
      </c>
      <c r="E88" s="6">
        <v>0</v>
      </c>
      <c r="F88" s="4" t="s">
        <v>112</v>
      </c>
      <c r="G88" s="6">
        <f>C88-B88</f>
        <v>101</v>
      </c>
      <c r="H88" t="str">
        <f>IF(F88&lt;3,"Poor",IF(F88&lt;4.5,"Average",IF(F88&lt;=5,"Excellent","Not Rated")))</f>
        <v>Not Rated</v>
      </c>
      <c r="I88" t="str">
        <f>IF(D88&lt;20%,"Low Discount",IF(D88&lt;40%,"Medium Discount","High Discount"))</f>
        <v>Low Discount</v>
      </c>
    </row>
    <row r="89" spans="1:9" x14ac:dyDescent="0.35">
      <c r="A89" t="s">
        <v>59</v>
      </c>
      <c r="B89" s="6">
        <v>657</v>
      </c>
      <c r="C89" s="6">
        <v>1288</v>
      </c>
      <c r="D89" s="1">
        <v>0.49</v>
      </c>
      <c r="E89" s="6">
        <v>0</v>
      </c>
      <c r="F89" s="4" t="s">
        <v>112</v>
      </c>
      <c r="G89" s="6">
        <f>C89-B89</f>
        <v>631</v>
      </c>
      <c r="H89" t="str">
        <f>IF(F89&lt;3,"Poor",IF(F89&lt;4.5,"Average",IF(F89&lt;=5,"Excellent","Not Rated")))</f>
        <v>Not Rated</v>
      </c>
      <c r="I89" t="str">
        <f>IF(D89&lt;20%,"Low Discount",IF(D89&lt;40%,"Medium Discount","High Discount"))</f>
        <v>High Discount</v>
      </c>
    </row>
    <row r="90" spans="1:9" x14ac:dyDescent="0.35">
      <c r="A90" t="s">
        <v>88</v>
      </c>
      <c r="B90" s="6">
        <v>1468</v>
      </c>
      <c r="C90" s="6">
        <v>1699</v>
      </c>
      <c r="D90" s="1">
        <v>0.14000000000000001</v>
      </c>
      <c r="E90" s="6">
        <v>0</v>
      </c>
      <c r="F90" s="4" t="s">
        <v>112</v>
      </c>
      <c r="G90" s="6">
        <f>C90-B90</f>
        <v>231</v>
      </c>
      <c r="H90" t="str">
        <f>IF(F90&lt;3,"Poor",IF(F90&lt;4.5,"Average",IF(F90&lt;=5,"Excellent","Not Rated")))</f>
        <v>Not Rated</v>
      </c>
      <c r="I90" t="str">
        <f>IF(D90&lt;20%,"Low Discount",IF(D90&lt;40%,"Medium Discount","High Discount"))</f>
        <v>Low Discount</v>
      </c>
    </row>
    <row r="91" spans="1:9" x14ac:dyDescent="0.35">
      <c r="A91" t="s">
        <v>89</v>
      </c>
      <c r="B91" s="6">
        <v>630</v>
      </c>
      <c r="C91" s="6">
        <v>1100</v>
      </c>
      <c r="D91" s="1">
        <v>0.43</v>
      </c>
      <c r="E91" s="6">
        <v>0</v>
      </c>
      <c r="F91" s="4" t="s">
        <v>112</v>
      </c>
      <c r="G91" s="6">
        <f>C91-B91</f>
        <v>470</v>
      </c>
      <c r="H91" t="str">
        <f>IF(F91&lt;3,"Poor",IF(F91&lt;4.5,"Average",IF(F91&lt;=5,"Excellent","Not Rated")))</f>
        <v>Not Rated</v>
      </c>
      <c r="I91" t="str">
        <f>IF(D91&lt;20%,"Low Discount",IF(D91&lt;40%,"Medium Discount","High Discount"))</f>
        <v>High Discount</v>
      </c>
    </row>
    <row r="92" spans="1:9" x14ac:dyDescent="0.35">
      <c r="A92" t="s">
        <v>90</v>
      </c>
      <c r="B92" s="6">
        <v>850</v>
      </c>
      <c r="C92" s="6">
        <v>1700</v>
      </c>
      <c r="D92" s="1">
        <v>0.5</v>
      </c>
      <c r="E92" s="6">
        <v>0</v>
      </c>
      <c r="F92" s="4" t="s">
        <v>112</v>
      </c>
      <c r="G92" s="6">
        <f>C92-B92</f>
        <v>850</v>
      </c>
      <c r="H92" t="str">
        <f>IF(F92&lt;3,"Poor",IF(F92&lt;4.5,"Average",IF(F92&lt;=5,"Excellent","Not Rated")))</f>
        <v>Not Rated</v>
      </c>
      <c r="I92" t="str">
        <f>IF(D92&lt;20%,"Low Discount",IF(D92&lt;40%,"Medium Discount","High Discount"))</f>
        <v>High Discount</v>
      </c>
    </row>
    <row r="93" spans="1:9" x14ac:dyDescent="0.35">
      <c r="A93" t="s">
        <v>91</v>
      </c>
      <c r="B93" s="6">
        <v>1300</v>
      </c>
      <c r="C93" s="6">
        <v>2500</v>
      </c>
      <c r="D93" s="1">
        <v>0.48</v>
      </c>
      <c r="E93" s="6">
        <v>0</v>
      </c>
      <c r="F93" s="4" t="s">
        <v>112</v>
      </c>
      <c r="G93" s="6">
        <f>C93-B93</f>
        <v>1200</v>
      </c>
      <c r="H93" t="str">
        <f>IF(F93&lt;3,"Poor",IF(F93&lt;4.5,"Average",IF(F93&lt;=5,"Excellent","Not Rated")))</f>
        <v>Not Rated</v>
      </c>
      <c r="I93" t="str">
        <f>IF(D93&lt;20%,"Low Discount",IF(D93&lt;40%,"Medium Discount","High Discount"))</f>
        <v>High Discount</v>
      </c>
    </row>
    <row r="94" spans="1:9" x14ac:dyDescent="0.35">
      <c r="A94" t="s">
        <v>92</v>
      </c>
      <c r="B94" s="6">
        <v>105</v>
      </c>
      <c r="C94" s="6">
        <v>200</v>
      </c>
      <c r="D94" s="1">
        <v>0.48</v>
      </c>
      <c r="E94" s="6">
        <v>0</v>
      </c>
      <c r="F94" s="4" t="s">
        <v>112</v>
      </c>
      <c r="G94" s="6">
        <f>C94-B94</f>
        <v>95</v>
      </c>
      <c r="H94" t="str">
        <f>IF(F94&lt;3,"Poor",IF(F94&lt;4.5,"Average",IF(F94&lt;=5,"Excellent","Not Rated")))</f>
        <v>Not Rated</v>
      </c>
      <c r="I94" t="str">
        <f>IF(D94&lt;20%,"Low Discount",IF(D94&lt;40%,"Medium Discount","High Discount"))</f>
        <v>High Discount</v>
      </c>
    </row>
    <row r="95" spans="1:9" x14ac:dyDescent="0.35">
      <c r="A95" t="s">
        <v>93</v>
      </c>
      <c r="B95" s="6">
        <v>899</v>
      </c>
      <c r="C95" s="6">
        <v>1699</v>
      </c>
      <c r="D95" s="1">
        <v>0.47</v>
      </c>
      <c r="E95" s="6">
        <v>0</v>
      </c>
      <c r="F95" s="4" t="s">
        <v>112</v>
      </c>
      <c r="G95" s="6">
        <f>C95-B95</f>
        <v>800</v>
      </c>
      <c r="H95" t="str">
        <f>IF(F95&lt;3,"Poor",IF(F95&lt;4.5,"Average",IF(F95&lt;=5,"Excellent","Not Rated")))</f>
        <v>Not Rated</v>
      </c>
      <c r="I95" t="str">
        <f>IF(D95&lt;20%,"Low Discount",IF(D95&lt;40%,"Medium Discount","High Discount"))</f>
        <v>High Discount</v>
      </c>
    </row>
    <row r="96" spans="1:9" x14ac:dyDescent="0.35">
      <c r="A96" t="s">
        <v>94</v>
      </c>
      <c r="B96" s="6">
        <v>1200</v>
      </c>
      <c r="C96" s="6">
        <v>2400</v>
      </c>
      <c r="D96" s="1">
        <v>0.5</v>
      </c>
      <c r="E96" s="6">
        <v>0</v>
      </c>
      <c r="F96" s="4" t="s">
        <v>112</v>
      </c>
      <c r="G96" s="6">
        <f>C96-B96</f>
        <v>1200</v>
      </c>
      <c r="H96" t="str">
        <f>IF(F96&lt;3,"Poor",IF(F96&lt;4.5,"Average",IF(F96&lt;=5,"Excellent","Not Rated")))</f>
        <v>Not Rated</v>
      </c>
      <c r="I96" t="str">
        <f>IF(D96&lt;20%,"Low Discount",IF(D96&lt;40%,"Medium Discount","High Discount"))</f>
        <v>High Discount</v>
      </c>
    </row>
    <row r="97" spans="1:9" x14ac:dyDescent="0.35">
      <c r="A97" t="s">
        <v>95</v>
      </c>
      <c r="B97" s="6">
        <v>1526</v>
      </c>
      <c r="C97" s="6">
        <v>1660</v>
      </c>
      <c r="D97" s="1">
        <v>0.08</v>
      </c>
      <c r="E97" s="6">
        <v>0</v>
      </c>
      <c r="F97" s="4" t="s">
        <v>112</v>
      </c>
      <c r="G97" s="6">
        <f>C97-B97</f>
        <v>134</v>
      </c>
      <c r="H97" t="str">
        <f>IF(F97&lt;3,"Poor",IF(F97&lt;4.5,"Average",IF(F97&lt;=5,"Excellent","Not Rated")))</f>
        <v>Not Rated</v>
      </c>
      <c r="I97" t="str">
        <f>IF(D97&lt;20%,"Low Discount",IF(D97&lt;40%,"Medium Discount","High Discount"))</f>
        <v>Low Discount</v>
      </c>
    </row>
    <row r="98" spans="1:9" x14ac:dyDescent="0.35">
      <c r="A98" t="s">
        <v>96</v>
      </c>
      <c r="B98" s="6">
        <v>1462</v>
      </c>
      <c r="C98" s="6">
        <v>1499</v>
      </c>
      <c r="D98" s="1">
        <v>0.02</v>
      </c>
      <c r="E98" s="6">
        <v>0</v>
      </c>
      <c r="F98" s="4" t="s">
        <v>112</v>
      </c>
      <c r="G98" s="6">
        <f>C98-B98</f>
        <v>37</v>
      </c>
      <c r="H98" t="str">
        <f>IF(F98&lt;3,"Poor",IF(F98&lt;4.5,"Average",IF(F98&lt;=5,"Excellent","Not Rated")))</f>
        <v>Not Rated</v>
      </c>
      <c r="I98" t="str">
        <f>IF(D98&lt;20%,"Low Discount",IF(D98&lt;40%,"Medium Discount","High Discount"))</f>
        <v>Low Discount</v>
      </c>
    </row>
    <row r="99" spans="1:9" x14ac:dyDescent="0.35">
      <c r="A99" t="s">
        <v>97</v>
      </c>
      <c r="B99" s="6">
        <v>248</v>
      </c>
      <c r="C99" s="6">
        <v>486</v>
      </c>
      <c r="D99" s="1">
        <v>0.49</v>
      </c>
      <c r="E99" s="6">
        <v>0</v>
      </c>
      <c r="F99" s="4" t="s">
        <v>112</v>
      </c>
      <c r="G99" s="6">
        <f>C99-B99</f>
        <v>238</v>
      </c>
      <c r="H99" t="str">
        <f>IF(F99&lt;3,"Poor",IF(F99&lt;4.5,"Average",IF(F99&lt;=5,"Excellent","Not Rated")))</f>
        <v>Not Rated</v>
      </c>
      <c r="I99" t="str">
        <f>IF(D99&lt;20%,"Low Discount",IF(D99&lt;40%,"Medium Discount","High Discount"))</f>
        <v>High Discount</v>
      </c>
    </row>
    <row r="100" spans="1:9" x14ac:dyDescent="0.35">
      <c r="A100" t="s">
        <v>98</v>
      </c>
      <c r="B100" s="6">
        <v>3546</v>
      </c>
      <c r="C100" s="6">
        <v>3699</v>
      </c>
      <c r="D100" s="1">
        <v>0.04</v>
      </c>
      <c r="E100" s="6">
        <v>0</v>
      </c>
      <c r="F100" s="4" t="s">
        <v>112</v>
      </c>
      <c r="G100" s="6">
        <f>C100-B100</f>
        <v>153</v>
      </c>
      <c r="H100" t="str">
        <f>IF(F100&lt;3,"Poor",IF(F100&lt;4.5,"Average",IF(F100&lt;=5,"Excellent","Not Rated")))</f>
        <v>Not Rated</v>
      </c>
      <c r="I100" t="str">
        <f>IF(D100&lt;20%,"Low Discount",IF(D100&lt;40%,"Medium Discount","High Discount"))</f>
        <v>Low Discount</v>
      </c>
    </row>
    <row r="101" spans="1:9" x14ac:dyDescent="0.35">
      <c r="A101" t="s">
        <v>99</v>
      </c>
      <c r="B101" s="6">
        <v>525</v>
      </c>
      <c r="C101" s="6">
        <v>1029</v>
      </c>
      <c r="D101" s="1">
        <v>0.49</v>
      </c>
      <c r="E101" s="6">
        <v>0</v>
      </c>
      <c r="F101" s="4" t="s">
        <v>112</v>
      </c>
      <c r="G101" s="6">
        <f>C101-B101</f>
        <v>504</v>
      </c>
      <c r="H101" t="str">
        <f>IF(F101&lt;3,"Poor",IF(F101&lt;4.5,"Average",IF(F101&lt;=5,"Excellent","Not Rated")))</f>
        <v>Not Rated</v>
      </c>
      <c r="I101" t="str">
        <f>IF(D101&lt;20%,"Low Discount",IF(D101&lt;40%,"Medium Discount","High Discount"))</f>
        <v>High Discount</v>
      </c>
    </row>
    <row r="102" spans="1:9" x14ac:dyDescent="0.35">
      <c r="A102" t="s">
        <v>100</v>
      </c>
      <c r="B102" s="6">
        <v>1080</v>
      </c>
      <c r="C102" s="6">
        <v>1874</v>
      </c>
      <c r="D102" s="1">
        <v>0.42</v>
      </c>
      <c r="E102" s="6">
        <v>0</v>
      </c>
      <c r="F102" s="4" t="s">
        <v>112</v>
      </c>
      <c r="G102" s="6">
        <f>C102-B102</f>
        <v>794</v>
      </c>
      <c r="H102" t="str">
        <f>IF(F102&lt;3,"Poor",IF(F102&lt;4.5,"Average",IF(F102&lt;=5,"Excellent","Not Rated")))</f>
        <v>Not Rated</v>
      </c>
      <c r="I102" t="str">
        <f>IF(D102&lt;20%,"Low Discount",IF(D102&lt;40%,"Medium Discount","High Discount"))</f>
        <v>High Discount</v>
      </c>
    </row>
    <row r="103" spans="1:9" x14ac:dyDescent="0.35">
      <c r="A103" t="s">
        <v>15</v>
      </c>
      <c r="B103" s="6">
        <v>552</v>
      </c>
      <c r="C103" s="6">
        <v>1035</v>
      </c>
      <c r="D103" s="1">
        <v>0.47</v>
      </c>
      <c r="E103" s="6">
        <v>12</v>
      </c>
      <c r="F103" s="4">
        <v>4.8</v>
      </c>
      <c r="G103" s="6">
        <f>C103-B103</f>
        <v>483</v>
      </c>
      <c r="H103" t="str">
        <f>IF(F103&lt;3,"Poor",IF(F103&lt;4.5,"Average",IF(F103&lt;=5,"Excellent","Not Rated")))</f>
        <v>Excellent</v>
      </c>
      <c r="I103" t="str">
        <f>IF(D103&lt;20%,"Low Discount",IF(D103&lt;40%,"Medium Discount","High Discount"))</f>
        <v>High Discount</v>
      </c>
    </row>
    <row r="104" spans="1:9" x14ac:dyDescent="0.35">
      <c r="A104" t="s">
        <v>102</v>
      </c>
      <c r="B104" s="6">
        <v>1420</v>
      </c>
      <c r="C104" s="6">
        <v>2420</v>
      </c>
      <c r="D104" s="1">
        <v>0.41</v>
      </c>
      <c r="E104" s="6">
        <v>0</v>
      </c>
      <c r="F104" s="4" t="s">
        <v>112</v>
      </c>
      <c r="G104" s="6">
        <f>C104-B104</f>
        <v>1000</v>
      </c>
      <c r="H104" t="str">
        <f>IF(F104&lt;3,"Poor",IF(F104&lt;4.5,"Average",IF(F104&lt;=5,"Excellent","Not Rated")))</f>
        <v>Not Rated</v>
      </c>
      <c r="I104" t="str">
        <f>IF(D104&lt;20%,"Low Discount",IF(D104&lt;40%,"Medium Discount","High Discount"))</f>
        <v>High Discount</v>
      </c>
    </row>
    <row r="105" spans="1:9" x14ac:dyDescent="0.35">
      <c r="A105" t="s">
        <v>103</v>
      </c>
      <c r="B105" s="6">
        <v>1875</v>
      </c>
      <c r="C105" s="6">
        <v>1899</v>
      </c>
      <c r="D105" s="1">
        <v>0.01</v>
      </c>
      <c r="E105" s="6">
        <v>0</v>
      </c>
      <c r="F105" s="4" t="s">
        <v>112</v>
      </c>
      <c r="G105" s="6">
        <f>C105-B105</f>
        <v>24</v>
      </c>
      <c r="H105" t="str">
        <f>IF(F105&lt;3,"Poor",IF(F105&lt;4.5,"Average",IF(F105&lt;=5,"Excellent","Not Rated")))</f>
        <v>Not Rated</v>
      </c>
      <c r="I105" t="str">
        <f>IF(D105&lt;20%,"Low Discount",IF(D105&lt;40%,"Medium Discount","High Discount"))</f>
        <v>Low Discount</v>
      </c>
    </row>
    <row r="106" spans="1:9" x14ac:dyDescent="0.35">
      <c r="A106" t="s">
        <v>104</v>
      </c>
      <c r="B106" s="6">
        <v>198</v>
      </c>
      <c r="C106" s="6">
        <v>260</v>
      </c>
      <c r="D106" s="1">
        <v>0.24</v>
      </c>
      <c r="E106" s="6">
        <v>0</v>
      </c>
      <c r="F106" s="4" t="s">
        <v>112</v>
      </c>
      <c r="G106" s="6">
        <f>C106-B106</f>
        <v>62</v>
      </c>
      <c r="H106" t="str">
        <f>IF(F106&lt;3,"Poor",IF(F106&lt;4.5,"Average",IF(F106&lt;=5,"Excellent","Not Rated")))</f>
        <v>Not Rated</v>
      </c>
      <c r="I106" t="str">
        <f>IF(D106&lt;20%,"Low Discount",IF(D106&lt;40%,"Medium Discount","High Discount"))</f>
        <v>Medium Discount</v>
      </c>
    </row>
    <row r="107" spans="1:9" x14ac:dyDescent="0.35">
      <c r="A107" t="s">
        <v>105</v>
      </c>
      <c r="B107" s="6">
        <v>1150</v>
      </c>
      <c r="C107" s="6">
        <v>1737</v>
      </c>
      <c r="D107" s="1">
        <v>0.34</v>
      </c>
      <c r="E107" s="6">
        <v>0</v>
      </c>
      <c r="F107" s="4" t="s">
        <v>112</v>
      </c>
      <c r="G107" s="6">
        <f>C107-B107</f>
        <v>587</v>
      </c>
      <c r="H107" t="str">
        <f>IF(F107&lt;3,"Poor",IF(F107&lt;4.5,"Average",IF(F107&lt;=5,"Excellent","Not Rated")))</f>
        <v>Not Rated</v>
      </c>
      <c r="I107" t="str">
        <f>IF(D107&lt;20%,"Low Discount",IF(D107&lt;40%,"Medium Discount","High Discount"))</f>
        <v>Medium Discount</v>
      </c>
    </row>
    <row r="108" spans="1:9" x14ac:dyDescent="0.35">
      <c r="A108" t="s">
        <v>106</v>
      </c>
      <c r="B108" s="6">
        <v>1190</v>
      </c>
      <c r="C108" s="6">
        <v>1810</v>
      </c>
      <c r="D108" s="1">
        <v>0.34</v>
      </c>
      <c r="E108" s="6">
        <v>0</v>
      </c>
      <c r="F108" s="4" t="s">
        <v>112</v>
      </c>
      <c r="G108" s="6">
        <f>C108-B108</f>
        <v>620</v>
      </c>
      <c r="H108" t="str">
        <f>IF(F108&lt;3,"Poor",IF(F108&lt;4.5,"Average",IF(F108&lt;=5,"Excellent","Not Rated")))</f>
        <v>Not Rated</v>
      </c>
      <c r="I108" t="str">
        <f>IF(D108&lt;20%,"Low Discount",IF(D108&lt;40%,"Medium Discount","High Discount"))</f>
        <v>Medium Discount</v>
      </c>
    </row>
    <row r="109" spans="1:9" x14ac:dyDescent="0.35">
      <c r="A109" t="s">
        <v>107</v>
      </c>
      <c r="B109" s="6">
        <v>1658</v>
      </c>
      <c r="C109" s="6">
        <v>1699</v>
      </c>
      <c r="D109" s="1">
        <v>0.02</v>
      </c>
      <c r="E109" s="6">
        <v>0</v>
      </c>
      <c r="F109" s="4" t="s">
        <v>112</v>
      </c>
      <c r="G109" s="6">
        <f>C109-B109</f>
        <v>41</v>
      </c>
      <c r="H109" t="str">
        <f>IF(F109&lt;3,"Poor",IF(F109&lt;4.5,"Average",IF(F109&lt;=5,"Excellent","Not Rated")))</f>
        <v>Not Rated</v>
      </c>
      <c r="I109" t="str">
        <f>IF(D109&lt;20%,"Low Discount",IF(D109&lt;40%,"Medium Discount","High Discount"))</f>
        <v>Low Discount</v>
      </c>
    </row>
    <row r="110" spans="1:9" x14ac:dyDescent="0.35">
      <c r="A110" t="s">
        <v>108</v>
      </c>
      <c r="B110" s="6">
        <v>1768</v>
      </c>
      <c r="C110" s="6">
        <v>1799</v>
      </c>
      <c r="D110" s="1">
        <v>0.02</v>
      </c>
      <c r="E110" s="6">
        <v>0</v>
      </c>
      <c r="F110" s="4" t="s">
        <v>112</v>
      </c>
      <c r="G110" s="6">
        <f>C110-B110</f>
        <v>31</v>
      </c>
      <c r="H110" t="str">
        <f>IF(F110&lt;3,"Poor",IF(F110&lt;4.5,"Average",IF(F110&lt;=5,"Excellent","Not Rated")))</f>
        <v>Not Rated</v>
      </c>
      <c r="I110" t="str">
        <f>IF(D110&lt;20%,"Low Discount",IF(D110&lt;40%,"Medium Discount","High Discount"))</f>
        <v>Low Discount</v>
      </c>
    </row>
    <row r="111" spans="1:9" x14ac:dyDescent="0.35">
      <c r="A111" t="s">
        <v>109</v>
      </c>
      <c r="B111" s="6">
        <v>199</v>
      </c>
      <c r="C111" s="6">
        <v>553</v>
      </c>
      <c r="D111" s="1">
        <v>0.64</v>
      </c>
      <c r="E111" s="6">
        <v>0</v>
      </c>
      <c r="F111" s="4" t="s">
        <v>112</v>
      </c>
      <c r="G111" s="6">
        <f>C111-B111</f>
        <v>354</v>
      </c>
      <c r="H111" t="str">
        <f>IF(F111&lt;3,"Poor",IF(F111&lt;4.5,"Average",IF(F111&lt;=5,"Excellent","Not Rated")))</f>
        <v>Not Rated</v>
      </c>
      <c r="I111" t="str">
        <f>IF(D111&lt;20%,"Low Discount",IF(D111&lt;40%,"Medium Discount","High Discount"))</f>
        <v>High Discount</v>
      </c>
    </row>
    <row r="112" spans="1:9" x14ac:dyDescent="0.35">
      <c r="A112" t="s">
        <v>110</v>
      </c>
      <c r="B112" s="6">
        <v>450</v>
      </c>
      <c r="C112" s="6">
        <v>900</v>
      </c>
      <c r="D112" s="1">
        <v>0.5</v>
      </c>
      <c r="E112" s="6">
        <v>1</v>
      </c>
      <c r="F112" s="4">
        <v>2</v>
      </c>
      <c r="G112" s="6">
        <f>C112-B112</f>
        <v>450</v>
      </c>
      <c r="H112" t="str">
        <f>IF(F112&lt;3,"Poor",IF(F112&lt;4.5,"Average",IF(F112&lt;=5,"Excellent","Not Rated")))</f>
        <v>Poor</v>
      </c>
      <c r="I112" t="str">
        <f>IF(D112&lt;20%,"Low Discount",IF(D112&lt;40%,"Medium Discount","High Discount"))</f>
        <v>High Discount</v>
      </c>
    </row>
    <row r="113" spans="1:9" x14ac:dyDescent="0.35">
      <c r="A113" t="s">
        <v>111</v>
      </c>
      <c r="B113" s="6">
        <v>169</v>
      </c>
      <c r="C113" s="6">
        <v>320</v>
      </c>
      <c r="D113" s="1">
        <v>0.47</v>
      </c>
      <c r="E113" s="6">
        <v>0</v>
      </c>
      <c r="F113" s="4" t="s">
        <v>112</v>
      </c>
      <c r="G113" s="6">
        <f t="shared" ref="G104:G113" si="7">C113-B113</f>
        <v>151</v>
      </c>
      <c r="H113" t="str">
        <f t="shared" ref="H67:H113" si="8">IF(F113&lt;3,"Poor",IF(F113&lt;4.5,"Average",IF(F113&lt;=5,"Excellent","Not Rated")))</f>
        <v>Not Rated</v>
      </c>
      <c r="I113" t="str">
        <f t="shared" ref="I104:I113" si="9">IF(D113&lt;20%,"Low Discount",IF(D113&lt;40%,"Medium Discount","High Discount"))</f>
        <v>High Discount</v>
      </c>
    </row>
    <row r="115" spans="1:9" x14ac:dyDescent="0.35">
      <c r="A115" s="2"/>
      <c r="B115" s="5"/>
      <c r="C115" s="5"/>
      <c r="D115" s="10"/>
      <c r="E115" s="5"/>
      <c r="F115" s="3"/>
      <c r="G115" s="5"/>
      <c r="H115" s="2"/>
      <c r="I115" s="2"/>
    </row>
    <row r="117" spans="1:9" x14ac:dyDescent="0.35">
      <c r="A117" s="6"/>
    </row>
  </sheetData>
  <autoFilter ref="A1:I113" xr:uid="{C4C7E454-92F6-4839-8868-F13400F4AFD9}"/>
  <conditionalFormatting sqref="F1:F113">
    <cfRule type="cellIs" dxfId="17" priority="3" operator="lessThan">
      <formula>3</formula>
    </cfRule>
  </conditionalFormatting>
  <conditionalFormatting sqref="D1:D1048576">
    <cfRule type="cellIs" dxfId="16" priority="1" operator="greaterThan">
      <formula>0.4</formula>
    </cfRule>
    <cfRule type="cellIs" dxfId="15" priority="2" operator="greaterThan">
      <formula>0.4</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Descriptive analysis</vt:lpstr>
      <vt:lpstr>Discount_vs_Reviews</vt:lpstr>
      <vt:lpstr>Rating_vs_Reviews</vt:lpstr>
      <vt:lpstr>Product Performance Analysis</vt:lpstr>
      <vt:lpstr>High &amp; low discount comparison</vt:lpstr>
      <vt:lpstr>Dashboard Source</vt:lpstr>
      <vt:lpstr>Product Categories</vt:lpstr>
      <vt:lpstr>Top Products By Rating</vt:lpstr>
      <vt:lpstr>Top Products By Reviews</vt:lpstr>
      <vt:lpstr>Top Products by Discount</vt:lpstr>
      <vt:lpstr>Excel_jumia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Kariuki</cp:lastModifiedBy>
  <dcterms:created xsi:type="dcterms:W3CDTF">2026-03-24T05:36:45Z</dcterms:created>
  <dcterms:modified xsi:type="dcterms:W3CDTF">2026-03-29T16:26:38Z</dcterms:modified>
</cp:coreProperties>
</file>